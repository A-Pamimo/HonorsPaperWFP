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139" documentId="13_ncr:1_{C9831689-8FB7-3744-919D-A6D9D32E9028}" xr6:coauthVersionLast="47" xr6:coauthVersionMax="47" xr10:uidLastSave="{B7DF62A4-0679-48A1-A607-4D056294FB9F}"/>
  <bookViews>
    <workbookView xWindow="-110" yWindow="-110" windowWidth="19420" windowHeight="11620" firstSheet="1" activeTab="1" xr2:uid="{00000000-000D-0000-FFFF-FFFF00000000}"/>
  </bookViews>
  <sheets>
    <sheet name="Error Log" sheetId="9" r:id="rId1"/>
    <sheet name="Duplicates" sheetId="12" r:id="rId2"/>
    <sheet name="Roster Error" sheetId="15" r:id="rId3"/>
    <sheet name="Missing Roster" sheetId="14" r:id="rId4"/>
    <sheet name="Other Specify Clarifications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4" l="1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tc={9A649BF8-9298-5F4E-A1E2-32ED1351047E}</author>
  </authors>
  <commentList>
    <comment ref="H22" authorId="0" shapeId="0" xr:uid="{9A649BF8-9298-5F4E-A1E2-32ED1351047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@Salifousanda Pouvez-vous vérifier auprès de l'équipe de l'enquête à distance ? J'ai cru comprendre, d'après Alirah, que nous n'appelons que les téléphones des ménages pour l'instant.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tc={428B450D-5B00-1543-90C9-610AE8A5A72B}</author>
  </authors>
  <commentList>
    <comment ref="E1" authorId="0" shapeId="0" xr:uid="{428B450D-5B00-1543-90C9-610AE8A5A72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@Salifousanda La plupart des autres réponses spécifiées ne sont pas très claires et ne peuvent pas être recodées en fonction de la question principale sur les sources de revenus. Pensez-vous que nous puissions clarifier les choses avec les enquêteurs ? Veuillez insister sur le fait qu'il faut laisser suffisamment d'informations - ce qui nous intéresse le plus, c'est de savoir s'ils ont un emploi salarié stable ou instable.</t>
      </text>
    </comment>
  </commentList>
</comments>
</file>

<file path=xl/sharedStrings.xml><?xml version="1.0" encoding="utf-8"?>
<sst xmlns="http://schemas.openxmlformats.org/spreadsheetml/2006/main" count="1451" uniqueCount="360">
  <si>
    <t>No</t>
  </si>
  <si>
    <t>Date</t>
  </si>
  <si>
    <t>Modality</t>
  </si>
  <si>
    <t>HHID</t>
  </si>
  <si>
    <t>uuid</t>
  </si>
  <si>
    <t>Enumerator</t>
  </si>
  <si>
    <t>Logged by:</t>
  </si>
  <si>
    <t>Comments</t>
  </si>
  <si>
    <t>Action Required</t>
  </si>
  <si>
    <t>Other comments</t>
  </si>
  <si>
    <t>Action Taken</t>
  </si>
  <si>
    <t>Closed?</t>
  </si>
  <si>
    <t>F2F</t>
  </si>
  <si>
    <t>General</t>
  </si>
  <si>
    <t>Nicole</t>
  </si>
  <si>
    <t>Missing education and health information in Roster once marked as respondent</t>
  </si>
  <si>
    <t>Remove the relevant ${RESPYN} ='0' for PSex and Page; On Aug 16 night, all enumerators should get the updated form to continue</t>
  </si>
  <si>
    <t>Remove the relevant ${RESPYN} ='0' for PSex and Page in the F2F form</t>
  </si>
  <si>
    <t>Yes</t>
  </si>
  <si>
    <t>Remote</t>
  </si>
  <si>
    <t>CAR12025</t>
  </si>
  <si>
    <t>a5e3830e-1407-4d2e-8db2-2e8f603544e0</t>
  </si>
  <si>
    <t>Bobby Jerry</t>
  </si>
  <si>
    <t>Ces ménages ont des dépenses alimentaires et des dépenses globales nulles - clarifier avec les enquêteurs si c'est vraiment le cas.</t>
  </si>
  <si>
    <t>CAR12023</t>
  </si>
  <si>
    <t>fb1d81ed-082b-418a-a025-0c77a8547f00</t>
  </si>
  <si>
    <t>CAR12020</t>
  </si>
  <si>
    <t>ab819567-4404-4bef-9c9e-d2ea0647bdad</t>
  </si>
  <si>
    <t>CAR12028</t>
  </si>
  <si>
    <t>3bf291e9-8fad-49ec-876b-51b348ada272</t>
  </si>
  <si>
    <t>CAR22182</t>
  </si>
  <si>
    <t>22b8e38b-e37c-408d-badc-d831f1571da9</t>
  </si>
  <si>
    <t>CAR12101</t>
  </si>
  <si>
    <t>24adbb66-fa56-4ea9-976c-079826e0e96d</t>
  </si>
  <si>
    <t>Gbissigui Otokpio Dasiel</t>
  </si>
  <si>
    <t>CAR12102</t>
  </si>
  <si>
    <t>63087f64-5694-44a3-a8e8-0e83c6ff7da9</t>
  </si>
  <si>
    <t>CAR12095</t>
  </si>
  <si>
    <t>a6c5d9cf-3d05-4372-bfbc-498896114368</t>
  </si>
  <si>
    <t>CAR12086</t>
  </si>
  <si>
    <t>ecbc7d6d-4e33-4f1d-84f6-6963df1636a0</t>
  </si>
  <si>
    <t>CAR12087</t>
  </si>
  <si>
    <t>35680358-9a13-42c4-8766-11187e397de2</t>
  </si>
  <si>
    <t>CAR12088</t>
  </si>
  <si>
    <t>3364e795-1292-4980-9063-055bb83880a6</t>
  </si>
  <si>
    <t>CAR12165</t>
  </si>
  <si>
    <t>b2b4fb2b-6889-4597-a45e-7bbd1c2a4747</t>
  </si>
  <si>
    <t>Goumba Suzie</t>
  </si>
  <si>
    <t>CAR12178</t>
  </si>
  <si>
    <t>b3b256a3-28ef-4eaa-8083-584380d22091</t>
  </si>
  <si>
    <t>CAR12163</t>
  </si>
  <si>
    <t>09d40574-8be3-4e4d-8839-e4fcb7726ccf</t>
  </si>
  <si>
    <t>CAR12143</t>
  </si>
  <si>
    <t>0e464c7c-4197-4db0-a676-0b44e558fa8f</t>
  </si>
  <si>
    <t>CAR22021</t>
  </si>
  <si>
    <t>1d641fc0-de45-4aa9-8bef-2062855daab4</t>
  </si>
  <si>
    <t>Loudegue Juanita Firmin</t>
  </si>
  <si>
    <t>CAR22118</t>
  </si>
  <si>
    <t>8c041d1b-d9eb-4ffd-ab0d-4207621d4038</t>
  </si>
  <si>
    <t>Ngrekamba Nancy Carole</t>
  </si>
  <si>
    <t>CAR22252</t>
  </si>
  <si>
    <t>65897153-8499-4564-9410-573417ab15d7</t>
  </si>
  <si>
    <t>CAR12208</t>
  </si>
  <si>
    <t>45af6aca-6503-473e-8f58-93406d0d856a</t>
  </si>
  <si>
    <t xml:space="preserve">General		</t>
  </si>
  <si>
    <t>Parmi les 154 enquêtes à distance complétées, 2 ont indiqué qu'il n'y avait pas de téléphone dans l'enquête d'inscription, et 38 ont été marquées comme n'ayant pas de couverture réseau - précisez pourquoi cela s'est produit.</t>
  </si>
  <si>
    <t>RESPAge</t>
  </si>
  <si>
    <t>RESPSex</t>
  </si>
  <si>
    <t>HHSize</t>
  </si>
  <si>
    <t>Responses</t>
  </si>
  <si>
    <t>CAR2101286</t>
  </si>
  <si>
    <t>ebf3e2ec-0845-4494-a2a1-e99579dfc503</t>
  </si>
  <si>
    <t>FROKOM Brillant</t>
  </si>
  <si>
    <t>Female</t>
  </si>
  <si>
    <t>Menage  non confirmé</t>
  </si>
  <si>
    <t>Joel</t>
  </si>
  <si>
    <t>fb8d0f9c-7de7-4fdf-82d2-0e87ad49d3b7</t>
  </si>
  <si>
    <t>GOUNOUMOUNDJOU Simplice</t>
  </si>
  <si>
    <t>OK</t>
  </si>
  <si>
    <t>Menage confirmé</t>
  </si>
  <si>
    <t>CAR12018</t>
  </si>
  <si>
    <t>660124db-5995-445a-8f6e-04c7e5f6d40f</t>
  </si>
  <si>
    <t>BOBBY Jerry</t>
  </si>
  <si>
    <t>Male</t>
  </si>
  <si>
    <t>381287e8-f887-43d3-b9f1-a42716dc635a</t>
  </si>
  <si>
    <t>GBISSIGUI OTOKPIO Dasiel</t>
  </si>
  <si>
    <t>no</t>
  </si>
  <si>
    <t>CAR1397</t>
  </si>
  <si>
    <t>223259ab-c01c-47bc-b0d5-796ff4d57385</t>
  </si>
  <si>
    <t>BINGA Jordan</t>
  </si>
  <si>
    <t>e4849d7c-d2d7-4f99-99dc-83c7194d1c05</t>
  </si>
  <si>
    <t>KOGBA-Line Benita</t>
  </si>
  <si>
    <t>CAR1101184</t>
  </si>
  <si>
    <t>91fc8ca3-07ca-44ca-b3a1-2ad8c32b8cbc</t>
  </si>
  <si>
    <t>KOPIRI DOLE Noella</t>
  </si>
  <si>
    <t>ok</t>
  </si>
  <si>
    <t>b7e66a81-e2cb-4302-ba92-dd13f37aa444</t>
  </si>
  <si>
    <t>CAR110124</t>
  </si>
  <si>
    <t>8f33fdbe-297c-4803-ad67-ef3ee05bc16b</t>
  </si>
  <si>
    <t>908e22b7-7f32-4895-a692-688130d3cc71</t>
  </si>
  <si>
    <t>NELO Odilon</t>
  </si>
  <si>
    <t>CAR110178</t>
  </si>
  <si>
    <t>d740218c-2456-4b58-98ce-aa9dad266143</t>
  </si>
  <si>
    <t>ENZA INGUERE Danielle</t>
  </si>
  <si>
    <t>c67e2f6a-049c-440d-8bc8-7cdfa27bc362</t>
  </si>
  <si>
    <t>CAR2101193</t>
  </si>
  <si>
    <t>d4bbfd45-f05d-45cf-9dc6-12e7377f8e41</t>
  </si>
  <si>
    <t>BAGUIWE Aaron</t>
  </si>
  <si>
    <t>cd1189de-9f11-4c0d-a514-993a9cd85c81</t>
  </si>
  <si>
    <t>CAR2101240</t>
  </si>
  <si>
    <t>503d1959-0c21-4e63-af00-253c92f45361</t>
  </si>
  <si>
    <t>99edc3a3-8821-41e9-920d-6bcec8c9b610</t>
  </si>
  <si>
    <t>CAR210291</t>
  </si>
  <si>
    <t>4aeda82e-0c2b-448f-8671-1319ea87b6a2</t>
  </si>
  <si>
    <t>ab4330fa-262d-4a36-8c78-505b468021ea</t>
  </si>
  <si>
    <t>CAR210453</t>
  </si>
  <si>
    <t>ec863daa-93b5-4480-a1fa-d51d02d7b1e5</t>
  </si>
  <si>
    <t>dd4757ab-aade-403d-b722-a52bffb53daa</t>
  </si>
  <si>
    <t>CAR2101070</t>
  </si>
  <si>
    <t>01cfa17b-1d3f-4d89-b85d-98a20c09891d</t>
  </si>
  <si>
    <t>DEGANAÏ DEDE Igor Tiburce</t>
  </si>
  <si>
    <t>c1cc6eaf-8c73-41c2-af34-a6b789558be4</t>
  </si>
  <si>
    <t>TOUTOU Alain</t>
  </si>
  <si>
    <t>CAR210214</t>
  </si>
  <si>
    <t>712d3672-c29a-4a59-8b8c-028737b85bc7</t>
  </si>
  <si>
    <t>afa1f32e-ea9d-4c3a-a9f2-d1f4925dd690</t>
  </si>
  <si>
    <t>NANIBET Chadly</t>
  </si>
  <si>
    <t>CAR210400</t>
  </si>
  <si>
    <t>68034e7d-9505-4817-873c-56739aa6c97a</t>
  </si>
  <si>
    <t>0f7e454d-47ec-4bd5-bd11-7a62795caf69</t>
  </si>
  <si>
    <t>CAR12066</t>
  </si>
  <si>
    <t>7b2b1308-4a44-4e14-98e5-2c30e623a98a</t>
  </si>
  <si>
    <t>BANGBALAMA Hyacinthe</t>
  </si>
  <si>
    <t>Drop this (Second interview/entry)</t>
  </si>
  <si>
    <t>6c9dbf75-bcbd-41fa-9449-880803960143</t>
  </si>
  <si>
    <t>CAR22110</t>
  </si>
  <si>
    <t>3a630476-d138-4549-a7df-29c2088008d3</t>
  </si>
  <si>
    <t>772479cf-d44b-4da3-a43b-f00990a3073a</t>
  </si>
  <si>
    <t>CAR2342</t>
  </si>
  <si>
    <t>f811149d-e74e-40fd-8f8b-77f9594de006</t>
  </si>
  <si>
    <t>NGREKAMBA Nancy Carole</t>
  </si>
  <si>
    <t>3ae7eecd-4b54-4f08-a08c-19df286bdcca</t>
  </si>
  <si>
    <t>CAR2498</t>
  </si>
  <si>
    <t>4d1e8624-ba7f-4cb7-911c-d57c16928df2</t>
  </si>
  <si>
    <t>Drop this one based on time of submission this is duplicate.</t>
  </si>
  <si>
    <t>d69f7b4a-278e-4d39-aed1-d8fca8bea084</t>
  </si>
  <si>
    <t>HH_Index</t>
  </si>
  <si>
    <t>EnuName_Display</t>
  </si>
  <si>
    <t>RESPStatus</t>
  </si>
  <si>
    <t>S_hh_head_sex</t>
  </si>
  <si>
    <t>S_hh_head_marital</t>
  </si>
  <si>
    <t>___uuid</t>
  </si>
  <si>
    <t>Question/clarification</t>
  </si>
  <si>
    <t>___index in Roster/Individual Dataset</t>
  </si>
  <si>
    <t xml:space="preserve">Action Required on Roster Data Correction </t>
  </si>
  <si>
    <t>CAR2101279</t>
  </si>
  <si>
    <t>Single</t>
  </si>
  <si>
    <t>ea37c865-1940-42fb-a108-fdf7da2944dd</t>
  </si>
  <si>
    <t>These Households have 0 or more than 1 person marked as respondent, should only be one</t>
  </si>
  <si>
    <t>17 is the respondent</t>
  </si>
  <si>
    <t>CAR2101283</t>
  </si>
  <si>
    <t>fd6531d4-70d7-423f-a9fb-73e2edf3fa75</t>
  </si>
  <si>
    <t>CAR2101271</t>
  </si>
  <si>
    <t>Cohabitating</t>
  </si>
  <si>
    <t>5121b0fb-1c5f-4a92-921f-a969dcde630b</t>
  </si>
  <si>
    <t>CAR2101270</t>
  </si>
  <si>
    <t>Divorced/Separated</t>
  </si>
  <si>
    <t>4cc5ecb9-52da-42c3-aa6b-5b14dddc94e5</t>
  </si>
  <si>
    <t>CAR210372</t>
  </si>
  <si>
    <t>9a324c13-3ef3-40e5-a22a-d6ba55556601</t>
  </si>
  <si>
    <t>CAR2101272</t>
  </si>
  <si>
    <t>d3830ead-03b7-4ce7-962e-42430db5095f</t>
  </si>
  <si>
    <t>CAR2101262</t>
  </si>
  <si>
    <t>0a0bb1f0-6661-46f0-be09-ac82b844eb82</t>
  </si>
  <si>
    <t>CAR210362</t>
  </si>
  <si>
    <t>7da97d24-48a0-4b72-8088-c206610974b0</t>
  </si>
  <si>
    <t>CAR210363</t>
  </si>
  <si>
    <t>Widowed</t>
  </si>
  <si>
    <t>070e88d9-3fb4-4582-a76a-7ab6d2df8806</t>
  </si>
  <si>
    <t>CAR210356</t>
  </si>
  <si>
    <t>e1112a10-2f72-43f6-84a9-56109149250b</t>
  </si>
  <si>
    <t>CAR2101282</t>
  </si>
  <si>
    <t>1f8db9f3-cb97-430e-9181-d12c8f633d21</t>
  </si>
  <si>
    <t>CAR2101263</t>
  </si>
  <si>
    <t>a4aa8554-03ea-40ed-9b3d-83db1ac74c5d</t>
  </si>
  <si>
    <t>CAR210405</t>
  </si>
  <si>
    <t>eb5cb0ee-081f-45e8-a8ab-d916d4a1db65</t>
  </si>
  <si>
    <t>CAR2101295</t>
  </si>
  <si>
    <t>b7610b83-b834-49a3-8aaa-fa7b4ee6ab9e</t>
  </si>
  <si>
    <t>No.</t>
  </si>
  <si>
    <t>PRelationHHH Answered in Roster Dataset</t>
  </si>
  <si>
    <t>Information about respondent in Main</t>
  </si>
  <si>
    <t>HH info in Listing Survey</t>
  </si>
  <si>
    <t>___index in Roster Dataset</t>
  </si>
  <si>
    <t>Correct Respondent in Roster Dataset (Answer Yes/No here). Only one person should be marked as Respondent per Household</t>
  </si>
  <si>
    <t>Spouse/partner</t>
  </si>
  <si>
    <t xml:space="preserve">These Individuals were marked all as respondents in the Roster dataset (more than one each household) - follow up with them all in the </t>
  </si>
  <si>
    <t>Head of household</t>
  </si>
  <si>
    <t>Mother/Father</t>
  </si>
  <si>
    <t>Brother/sister</t>
  </si>
  <si>
    <t>Son/daughter</t>
  </si>
  <si>
    <t>CAR210357</t>
  </si>
  <si>
    <t>One member per household marked as Respondent to follow up with missing information</t>
  </si>
  <si>
    <t>CAR210359</t>
  </si>
  <si>
    <t>CAR2101280</t>
  </si>
  <si>
    <t>CAR210378</t>
  </si>
  <si>
    <t>CAR2101264</t>
  </si>
  <si>
    <t>CAR2101268</t>
  </si>
  <si>
    <t>Married</t>
  </si>
  <si>
    <t>CAR2101269</t>
  </si>
  <si>
    <t>CAR2101284</t>
  </si>
  <si>
    <t>CAR2101301</t>
  </si>
  <si>
    <t>CAR2101285</t>
  </si>
  <si>
    <t>CAR210396</t>
  </si>
  <si>
    <t>CAR2101299</t>
  </si>
  <si>
    <t>CAR210408</t>
  </si>
  <si>
    <t>CAR210397</t>
  </si>
  <si>
    <t>CAR2101298</t>
  </si>
  <si>
    <t>CAR2101371</t>
  </si>
  <si>
    <t>CAR2101372</t>
  </si>
  <si>
    <t>CAR2101383</t>
  </si>
  <si>
    <t>CAR210471</t>
  </si>
  <si>
    <t>CAR2101374</t>
  </si>
  <si>
    <t>CAR2101273</t>
  </si>
  <si>
    <t>CAR210380</t>
  </si>
  <si>
    <t>CAR210381</t>
  </si>
  <si>
    <t>CAR2101266</t>
  </si>
  <si>
    <t>CAR210369</t>
  </si>
  <si>
    <t>CAR210370</t>
  </si>
  <si>
    <t>CAR210368</t>
  </si>
  <si>
    <t>CAR2101303</t>
  </si>
  <si>
    <t>CAR210401</t>
  </si>
  <si>
    <t>CAR2101305</t>
  </si>
  <si>
    <t>CAR210385</t>
  </si>
  <si>
    <t>CAR2101297</t>
  </si>
  <si>
    <t>CAR210395</t>
  </si>
  <si>
    <t>CAR210394</t>
  </si>
  <si>
    <t>CAR210398</t>
  </si>
  <si>
    <t>CAR210407</t>
  </si>
  <si>
    <t>CAR2101296</t>
  </si>
  <si>
    <t>CAR210467</t>
  </si>
  <si>
    <t>CAR210465</t>
  </si>
  <si>
    <t>CAR2101365</t>
  </si>
  <si>
    <t>CAR2101366</t>
  </si>
  <si>
    <t>CAR2101367</t>
  </si>
  <si>
    <t>BEYO Serge Olivier</t>
  </si>
  <si>
    <t>CAR2101261</t>
  </si>
  <si>
    <t>CAR210367</t>
  </si>
  <si>
    <t>CAR2101274</t>
  </si>
  <si>
    <t>CAR210377</t>
  </si>
  <si>
    <t>CAR2101276</t>
  </si>
  <si>
    <t>CAR210361</t>
  </si>
  <si>
    <t>CAR2101275</t>
  </si>
  <si>
    <t>CAR210365</t>
  </si>
  <si>
    <t>CAR210403</t>
  </si>
  <si>
    <t>CAR210402</t>
  </si>
  <si>
    <t>CAR2101289</t>
  </si>
  <si>
    <t>CAR2101290</t>
  </si>
  <si>
    <t>CAR2101288</t>
  </si>
  <si>
    <t>CAR210390</t>
  </si>
  <si>
    <t>CAR210404</t>
  </si>
  <si>
    <t>CAR2101307</t>
  </si>
  <si>
    <t>CAR210389</t>
  </si>
  <si>
    <t>CAR2101306</t>
  </si>
  <si>
    <t>CAR210470</t>
  </si>
  <si>
    <t>CAR210468</t>
  </si>
  <si>
    <t>CAR2101370</t>
  </si>
  <si>
    <t>CAR2101369</t>
  </si>
  <si>
    <t>CAR210469</t>
  </si>
  <si>
    <t>CAR210383</t>
  </si>
  <si>
    <t>CAR2101287</t>
  </si>
  <si>
    <t>CAR210384</t>
  </si>
  <si>
    <t>.</t>
  </si>
  <si>
    <t>CAR210393</t>
  </si>
  <si>
    <t>CAR210392</t>
  </si>
  <si>
    <t>CAR210406</t>
  </si>
  <si>
    <t>CAR210391</t>
  </si>
  <si>
    <t>CAR2101364</t>
  </si>
  <si>
    <t>CAR2101382</t>
  </si>
  <si>
    <t>CAR2101362</t>
  </si>
  <si>
    <t>CAR2101363</t>
  </si>
  <si>
    <t>CAR210462</t>
  </si>
  <si>
    <t>CAR210366</t>
  </si>
  <si>
    <t>CAR2101267</t>
  </si>
  <si>
    <t>CAR210379</t>
  </si>
  <si>
    <t>CAR210358</t>
  </si>
  <si>
    <t>CAR210388</t>
  </si>
  <si>
    <t>CAR2101291</t>
  </si>
  <si>
    <t>CAR2101292</t>
  </si>
  <si>
    <t>CAR2101293</t>
  </si>
  <si>
    <t>CAR2101294</t>
  </si>
  <si>
    <t>CAR2101304</t>
  </si>
  <si>
    <t>CAR210386</t>
  </si>
  <si>
    <t>CAR210399</t>
  </si>
  <si>
    <t>CAR2101302</t>
  </si>
  <si>
    <t>CAR2101300</t>
  </si>
  <si>
    <t>CAR210474</t>
  </si>
  <si>
    <t>CAR210473</t>
  </si>
  <si>
    <t>CAR2101376</t>
  </si>
  <si>
    <t>CAR2101377</t>
  </si>
  <si>
    <t>CAR2101378</t>
  </si>
  <si>
    <t>HHHOccupation</t>
  </si>
  <si>
    <t>HHIncFirst_oth</t>
  </si>
  <si>
    <t>Clarification</t>
  </si>
  <si>
    <t>CAR110252</t>
  </si>
  <si>
    <t>Nelo Odilon</t>
  </si>
  <si>
    <t>Cultivatrice</t>
  </si>
  <si>
    <t>Agriculture</t>
  </si>
  <si>
    <t>Toutou Alain</t>
  </si>
  <si>
    <t>Cherché à Manger</t>
  </si>
  <si>
    <t>CAR12029</t>
  </si>
  <si>
    <t>Couturier</t>
  </si>
  <si>
    <t>Coturier</t>
  </si>
  <si>
    <t>CAR1101156</t>
  </si>
  <si>
    <t>Frokom Brillant</t>
  </si>
  <si>
    <t>Cultivateur</t>
  </si>
  <si>
    <t>Cultiver</t>
  </si>
  <si>
    <t>CAR22119</t>
  </si>
  <si>
    <t>Cultivateure</t>
  </si>
  <si>
    <t>Cultuvateure</t>
  </si>
  <si>
    <t>CAR110129</t>
  </si>
  <si>
    <t>Extracteur De Sable</t>
  </si>
  <si>
    <t>Baguiwe Aaron</t>
  </si>
  <si>
    <t>Jardin</t>
  </si>
  <si>
    <t>CAR2101384</t>
  </si>
  <si>
    <t>Jardinier</t>
  </si>
  <si>
    <t>Gounoumoundjou Simplice</t>
  </si>
  <si>
    <t>Aucune</t>
  </si>
  <si>
    <t>Le PèRe Et Tous Les Enfants Ramassent Et Vendent De Fagots Afin Subvenir Aux Besoins Du MéNage</t>
  </si>
  <si>
    <t>CAR1101202</t>
  </si>
  <si>
    <t>MaçOn</t>
  </si>
  <si>
    <t>MaçOnnerie</t>
  </si>
  <si>
    <t>CAR1101206</t>
  </si>
  <si>
    <t>Nguinda</t>
  </si>
  <si>
    <t>CAR1382</t>
  </si>
  <si>
    <t>Binga Jordan</t>
  </si>
  <si>
    <t>Taxi Moto</t>
  </si>
  <si>
    <t>Moto Taxi</t>
  </si>
  <si>
    <t>Pas De Travail</t>
  </si>
  <si>
    <t>CAR1381</t>
  </si>
  <si>
    <t>Pasteur</t>
  </si>
  <si>
    <t>CAR1101013</t>
  </si>
  <si>
    <t>PêCheur</t>
  </si>
  <si>
    <t>PêChe</t>
  </si>
  <si>
    <t>CAR1101014</t>
  </si>
  <si>
    <t>CAR1101095</t>
  </si>
  <si>
    <t>CAR1101097</t>
  </si>
  <si>
    <t>Yanga Prosper Basile</t>
  </si>
  <si>
    <t>CAR110128</t>
  </si>
  <si>
    <t>CAR110190</t>
  </si>
  <si>
    <t>PêChé</t>
  </si>
  <si>
    <t>CAR110148</t>
  </si>
  <si>
    <t>Kopiri Dole Noella</t>
  </si>
  <si>
    <t>CAR110149</t>
  </si>
  <si>
    <t>Temporeur</t>
  </si>
  <si>
    <t>CAR210418</t>
  </si>
  <si>
    <t>Temporaire</t>
  </si>
  <si>
    <t>CAR110103</t>
  </si>
  <si>
    <t>Trafiquants</t>
  </si>
  <si>
    <t>Trafic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</si>
</sst>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16" fontId="0" fillId="3" borderId="0" xfId="0" applyNumberFormat="1" applyFill="1"/>
    <xf numFmtId="0" fontId="2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horizontal="center" vertical="center"/>
    </xf>
    <xf numFmtId="11" fontId="0" fillId="0" borderId="0" xfId="0" applyNumberFormat="1"/>
    <xf numFmtId="0" fontId="7" fillId="0" borderId="0" xfId="0" applyFont="1"/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BF590F6A-84A0-BF49-BC97-36E885E15C33}">
    <Anchor>
      <Comment id="{9A649BF8-9298-5F4E-A1E2-32ED1351047E}"/>
    </Anchor>
    <History>
      <Event time="2023-08-17T20:18:53.01" id="{412D7C8A-F0F1-7344-A71F-7C128A2497EA}">
        <Attribution userId="S::nicole.wu@wfp.org::4cf90142-5117-41df-a92b-6216d87bdf3c" userName="Nicole WU" userProvider="AD"/>
        <Anchor>
          <Comment id="{9A649BF8-9298-5F4E-A1E2-32ED1351047E}"/>
        </Anchor>
        <Create/>
      </Event>
      <Event time="2023-08-17T20:18:53.01" id="{8C9B3ADC-6173-084C-A668-3CB7242E9EF5}">
        <Attribution userId="S::nicole.wu@wfp.org::4cf90142-5117-41df-a92b-6216d87bdf3c" userName="Nicole WU" userProvider="AD"/>
        <Anchor>
          <Comment id="{9A649BF8-9298-5F4E-A1E2-32ED1351047E}"/>
        </Anchor>
        <Assign userId="S::salifousanda.ousmane@wfp.org::de0eed82-a73b-4fd1-ae49-ee330e219d1f" userName="Salifousanda OUSMANE" userProvider="AD"/>
      </Event>
      <Event time="2023-08-17T20:18:53.01" id="{362D3DEC-E7BC-E844-9BB8-9AE32780EFF5}">
        <Attribution userId="S::nicole.wu@wfp.org::4cf90142-5117-41df-a92b-6216d87bdf3c" userName="Nicole WU" userProvider="AD"/>
        <Anchor>
          <Comment id="{9A649BF8-9298-5F4E-A1E2-32ED1351047E}"/>
        </Anchor>
        <SetTitle title="@Salifousanda Pouvez-vous vérifier auprès de l'équipe de l'enquête à distance ? J'ai cru comprendre, d'après Alirah, que nous n'appelons que les téléphones des ménages pour l'instant."/>
      </Event>
    </History>
  </Task>
</Tasks>
</file>

<file path=xl/documenttasks/documenttask2.xml><?xml version="1.0" encoding="utf-8"?>
<Tasks xmlns="http://schemas.microsoft.com/office/tasks/2019/documenttasks">
  <Task id="{9DDDAAC5-A387-B649-99B4-BAC835ADF7E5}">
    <Anchor>
      <Comment id="{428B450D-5B00-1543-90C9-610AE8A5A72B}"/>
    </Anchor>
    <History>
      <Event time="2023-08-17T21:12:56.14" id="{FEBFD5BF-720F-AB4C-8D92-8926A22DA4E0}">
        <Attribution userId="S::nicole.wu@wfp.org::4cf90142-5117-41df-a92b-6216d87bdf3c" userName="Nicole WU" userProvider="AD"/>
        <Anchor>
          <Comment id="{428B450D-5B00-1543-90C9-610AE8A5A72B}"/>
        </Anchor>
        <Create/>
      </Event>
      <Event time="2023-08-17T21:12:56.14" id="{C16C26CB-6F21-4D4E-AE24-01FAA4C4CEA3}">
        <Attribution userId="S::nicole.wu@wfp.org::4cf90142-5117-41df-a92b-6216d87bdf3c" userName="Nicole WU" userProvider="AD"/>
        <Anchor>
          <Comment id="{428B450D-5B00-1543-90C9-610AE8A5A72B}"/>
        </Anchor>
        <Assign userId="S::salifousanda.ousmane@wfp.org::de0eed82-a73b-4fd1-ae49-ee330e219d1f" userName="Salifousanda OUSMANE" userProvider="AD"/>
      </Event>
      <Event time="2023-08-17T21:12:56.14" id="{E2CB027E-973D-4849-ABAC-7CD09AA3B908}">
        <Attribution userId="S::nicole.wu@wfp.org::4cf90142-5117-41df-a92b-6216d87bdf3c" userName="Nicole WU" userProvider="AD"/>
        <Anchor>
          <Comment id="{428B450D-5B00-1543-90C9-610AE8A5A72B}"/>
        </Anchor>
        <SetTitle title="@Salifousanda La plupart des autres réponses spécifiées ne sont pas très claires et ne peuvent pas être recodées en fonction de la question principale sur les sources de revenus. Pensez-vous que nous puissions clarifier les choses avec les enquêteurs…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Nicole Wu" id="{7B1947FD-34A4-4AB2-8B88-2B40E26AB9A4}" userId="Nicole Wu" providerId="None"/>
  <person displayName="Salifousanda" id="{7C49A3EC-CE14-4E01-A6FF-DB386B7530CA}" userId="salifousanda.ousmane@wfp.org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2" dT="2023-08-17T20:18:53.07" personId="{7B1947FD-34A4-4AB2-8B88-2B40E26AB9A4}" id="{9A649BF8-9298-5F4E-A1E2-32ED1351047E}">
    <text>@Salifousanda Pouvez-vous vérifier auprès de l'équipe de l'enquête à distance ? J'ai cru comprendre, d'après Alirah, que nous n'appelons que les téléphones des ménages pour l'instant.</text>
    <mentions>
      <mention mentionpersonId="{7C49A3EC-CE14-4E01-A6FF-DB386B7530CA}" mentionId="{E5BD9C78-7A09-8A45-B8BB-E34A5C911CB3}" startIndex="0" length="13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3-08-17T21:12:56.19" personId="{7B1947FD-34A4-4AB2-8B88-2B40E26AB9A4}" id="{428B450D-5B00-1543-90C9-610AE8A5A72B}">
    <text>@Salifousanda La plupart des autres réponses spécifiées ne sont pas très claires et ne peuvent pas être recodées en fonction de la question principale sur les sources de revenus. Pensez-vous que nous puissions clarifier les choses avec les enquêteurs ? Veuillez insister sur le fait qu'il faut laisser suffisamment d'informations - ce qui nous intéresse le plus, c'est de savoir s'ils ont un emploi salarié stable ou instable.</text>
    <mentions>
      <mention mentionpersonId="{7C49A3EC-CE14-4E01-A6FF-DB386B7530CA}" mentionId="{E42C9DC4-E7D9-1841-B10B-9C6B18055CD6}" startIndex="0" length="1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F4D2-04C4-A440-92AF-BBFD3FA4280B}">
  <sheetPr>
    <tabColor theme="5"/>
  </sheetPr>
  <dimension ref="A1:L50"/>
  <sheetViews>
    <sheetView zoomScale="140" zoomScaleNormal="140" workbookViewId="0">
      <selection activeCell="H30" sqref="H30"/>
    </sheetView>
  </sheetViews>
  <sheetFormatPr defaultColWidth="11.42578125" defaultRowHeight="12.95"/>
  <cols>
    <col min="1" max="1" width="4" style="3" bestFit="1" customWidth="1"/>
    <col min="2" max="2" width="7.140625" bestFit="1" customWidth="1"/>
    <col min="3" max="3" width="9.85546875" style="3" bestFit="1" customWidth="1"/>
    <col min="4" max="4" width="15" bestFit="1" customWidth="1"/>
    <col min="5" max="5" width="15" customWidth="1"/>
    <col min="6" max="6" width="19.5703125" bestFit="1" customWidth="1"/>
    <col min="7" max="7" width="11" bestFit="1" customWidth="1"/>
    <col min="8" max="8" width="59" bestFit="1" customWidth="1"/>
    <col min="9" max="9" width="62.5703125" style="6" customWidth="1"/>
    <col min="10" max="10" width="41.140625" style="6" customWidth="1"/>
    <col min="11" max="11" width="42.140625" customWidth="1"/>
    <col min="12" max="12" width="8.5703125" bestFit="1" customWidth="1"/>
  </cols>
  <sheetData>
    <row r="1" spans="1:12" s="1" customFormat="1" ht="14.4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1" t="s">
        <v>10</v>
      </c>
      <c r="L1" s="1" t="s">
        <v>11</v>
      </c>
    </row>
    <row r="2" spans="1:12" s="22" customFormat="1">
      <c r="A2" s="19">
        <v>1</v>
      </c>
      <c r="B2" s="20">
        <v>45153</v>
      </c>
      <c r="C2" s="23" t="s">
        <v>12</v>
      </c>
      <c r="D2" s="35" t="s">
        <v>13</v>
      </c>
      <c r="E2" s="35"/>
      <c r="F2" s="35"/>
      <c r="G2" s="22" t="s">
        <v>14</v>
      </c>
      <c r="H2" s="21" t="s">
        <v>15</v>
      </c>
      <c r="I2" s="22" t="s">
        <v>16</v>
      </c>
      <c r="J2" s="21"/>
      <c r="K2" s="21" t="s">
        <v>17</v>
      </c>
      <c r="L2" s="21" t="s">
        <v>18</v>
      </c>
    </row>
    <row r="3" spans="1:12">
      <c r="A3" s="3">
        <v>2</v>
      </c>
      <c r="B3" s="4">
        <v>45155</v>
      </c>
      <c r="C3" s="3" t="s">
        <v>19</v>
      </c>
      <c r="D3" s="3" t="s">
        <v>20</v>
      </c>
      <c r="E3" t="s">
        <v>21</v>
      </c>
      <c r="F3" t="s">
        <v>22</v>
      </c>
      <c r="G3" t="s">
        <v>14</v>
      </c>
      <c r="H3" s="36" t="s">
        <v>23</v>
      </c>
    </row>
    <row r="4" spans="1:12">
      <c r="A4" s="3">
        <v>3</v>
      </c>
      <c r="B4" s="4">
        <v>45155</v>
      </c>
      <c r="C4" s="3" t="s">
        <v>19</v>
      </c>
      <c r="D4" s="3" t="s">
        <v>24</v>
      </c>
      <c r="E4" t="s">
        <v>25</v>
      </c>
      <c r="F4" t="s">
        <v>22</v>
      </c>
      <c r="G4" t="s">
        <v>14</v>
      </c>
      <c r="H4" s="36"/>
    </row>
    <row r="5" spans="1:12">
      <c r="A5" s="3">
        <v>4</v>
      </c>
      <c r="B5" s="4">
        <v>45155</v>
      </c>
      <c r="C5" s="3" t="s">
        <v>19</v>
      </c>
      <c r="D5" s="3" t="s">
        <v>26</v>
      </c>
      <c r="E5" t="s">
        <v>27</v>
      </c>
      <c r="F5" t="s">
        <v>22</v>
      </c>
      <c r="G5" t="s">
        <v>14</v>
      </c>
      <c r="H5" s="36"/>
    </row>
    <row r="6" spans="1:12">
      <c r="A6" s="3">
        <v>5</v>
      </c>
      <c r="B6" s="4">
        <v>45155</v>
      </c>
      <c r="C6" s="3" t="s">
        <v>19</v>
      </c>
      <c r="D6" s="3" t="s">
        <v>28</v>
      </c>
      <c r="E6" t="s">
        <v>29</v>
      </c>
      <c r="F6" t="s">
        <v>22</v>
      </c>
      <c r="G6" t="s">
        <v>14</v>
      </c>
      <c r="H6" s="36"/>
    </row>
    <row r="7" spans="1:12">
      <c r="A7" s="3">
        <v>6</v>
      </c>
      <c r="B7" s="4">
        <v>45155</v>
      </c>
      <c r="C7" s="3" t="s">
        <v>19</v>
      </c>
      <c r="D7" s="3" t="s">
        <v>30</v>
      </c>
      <c r="E7" t="s">
        <v>31</v>
      </c>
      <c r="F7" t="s">
        <v>22</v>
      </c>
      <c r="G7" t="s">
        <v>14</v>
      </c>
      <c r="H7" s="36"/>
    </row>
    <row r="8" spans="1:12">
      <c r="A8" s="3">
        <v>7</v>
      </c>
      <c r="B8" s="4">
        <v>45155</v>
      </c>
      <c r="C8" s="3" t="s">
        <v>19</v>
      </c>
      <c r="D8" s="3" t="s">
        <v>32</v>
      </c>
      <c r="E8" t="s">
        <v>33</v>
      </c>
      <c r="F8" t="s">
        <v>34</v>
      </c>
      <c r="G8" t="s">
        <v>14</v>
      </c>
      <c r="H8" s="36"/>
    </row>
    <row r="9" spans="1:12">
      <c r="A9" s="3">
        <v>8</v>
      </c>
      <c r="B9" s="4">
        <v>45155</v>
      </c>
      <c r="C9" s="3" t="s">
        <v>19</v>
      </c>
      <c r="D9" s="3" t="s">
        <v>35</v>
      </c>
      <c r="E9" t="s">
        <v>36</v>
      </c>
      <c r="F9" t="s">
        <v>34</v>
      </c>
      <c r="G9" t="s">
        <v>14</v>
      </c>
      <c r="H9" s="36"/>
    </row>
    <row r="10" spans="1:12">
      <c r="A10" s="3">
        <v>9</v>
      </c>
      <c r="B10" s="4">
        <v>45155</v>
      </c>
      <c r="C10" s="3" t="s">
        <v>19</v>
      </c>
      <c r="D10" s="3" t="s">
        <v>37</v>
      </c>
      <c r="E10" t="s">
        <v>38</v>
      </c>
      <c r="F10" t="s">
        <v>34</v>
      </c>
      <c r="G10" t="s">
        <v>14</v>
      </c>
      <c r="H10" s="36"/>
    </row>
    <row r="11" spans="1:12">
      <c r="A11" s="3">
        <v>10</v>
      </c>
      <c r="B11" s="4">
        <v>45155</v>
      </c>
      <c r="C11" s="3" t="s">
        <v>19</v>
      </c>
      <c r="D11" s="3" t="s">
        <v>39</v>
      </c>
      <c r="E11" t="s">
        <v>40</v>
      </c>
      <c r="F11" t="s">
        <v>34</v>
      </c>
      <c r="G11" t="s">
        <v>14</v>
      </c>
      <c r="H11" s="36"/>
    </row>
    <row r="12" spans="1:12">
      <c r="A12" s="3">
        <v>11</v>
      </c>
      <c r="B12" s="4">
        <v>45155</v>
      </c>
      <c r="C12" s="3" t="s">
        <v>19</v>
      </c>
      <c r="D12" s="3" t="s">
        <v>41</v>
      </c>
      <c r="E12" t="s">
        <v>42</v>
      </c>
      <c r="F12" t="s">
        <v>34</v>
      </c>
      <c r="G12" t="s">
        <v>14</v>
      </c>
      <c r="H12" s="36"/>
    </row>
    <row r="13" spans="1:12">
      <c r="A13" s="3">
        <v>12</v>
      </c>
      <c r="B13" s="4">
        <v>45155</v>
      </c>
      <c r="C13" s="3" t="s">
        <v>19</v>
      </c>
      <c r="D13" s="3" t="s">
        <v>43</v>
      </c>
      <c r="E13" s="27" t="s">
        <v>44</v>
      </c>
      <c r="F13" t="s">
        <v>34</v>
      </c>
      <c r="G13" t="s">
        <v>14</v>
      </c>
      <c r="H13" s="36"/>
    </row>
    <row r="14" spans="1:12">
      <c r="A14" s="3">
        <v>13</v>
      </c>
      <c r="B14" s="4">
        <v>45155</v>
      </c>
      <c r="C14" s="3" t="s">
        <v>19</v>
      </c>
      <c r="D14" s="3" t="s">
        <v>45</v>
      </c>
      <c r="E14" t="s">
        <v>46</v>
      </c>
      <c r="F14" t="s">
        <v>47</v>
      </c>
      <c r="G14" t="s">
        <v>14</v>
      </c>
      <c r="H14" s="36"/>
    </row>
    <row r="15" spans="1:12">
      <c r="A15" s="3">
        <v>14</v>
      </c>
      <c r="B15" s="4">
        <v>45155</v>
      </c>
      <c r="C15" s="3" t="s">
        <v>19</v>
      </c>
      <c r="D15" s="3" t="s">
        <v>48</v>
      </c>
      <c r="E15" t="s">
        <v>49</v>
      </c>
      <c r="F15" t="s">
        <v>47</v>
      </c>
      <c r="G15" t="s">
        <v>14</v>
      </c>
      <c r="H15" s="36"/>
    </row>
    <row r="16" spans="1:12">
      <c r="A16" s="3">
        <v>15</v>
      </c>
      <c r="B16" s="4">
        <v>45155</v>
      </c>
      <c r="C16" s="3" t="s">
        <v>19</v>
      </c>
      <c r="D16" s="3" t="s">
        <v>50</v>
      </c>
      <c r="E16" t="s">
        <v>51</v>
      </c>
      <c r="F16" t="s">
        <v>47</v>
      </c>
      <c r="G16" t="s">
        <v>14</v>
      </c>
      <c r="H16" s="36"/>
    </row>
    <row r="17" spans="1:8">
      <c r="A17" s="3">
        <v>16</v>
      </c>
      <c r="B17" s="4">
        <v>45155</v>
      </c>
      <c r="C17" s="3" t="s">
        <v>19</v>
      </c>
      <c r="D17" s="3" t="s">
        <v>52</v>
      </c>
      <c r="E17" s="27" t="s">
        <v>53</v>
      </c>
      <c r="F17" t="s">
        <v>47</v>
      </c>
      <c r="G17" t="s">
        <v>14</v>
      </c>
      <c r="H17" s="36"/>
    </row>
    <row r="18" spans="1:8">
      <c r="A18" s="3">
        <v>17</v>
      </c>
      <c r="B18" s="4">
        <v>45155</v>
      </c>
      <c r="C18" s="3" t="s">
        <v>19</v>
      </c>
      <c r="D18" s="3" t="s">
        <v>54</v>
      </c>
      <c r="E18" t="s">
        <v>55</v>
      </c>
      <c r="F18" t="s">
        <v>56</v>
      </c>
      <c r="G18" t="s">
        <v>14</v>
      </c>
      <c r="H18" s="36"/>
    </row>
    <row r="19" spans="1:8">
      <c r="A19" s="3">
        <v>18</v>
      </c>
      <c r="B19" s="4">
        <v>45155</v>
      </c>
      <c r="C19" s="3" t="s">
        <v>19</v>
      </c>
      <c r="D19" s="3" t="s">
        <v>57</v>
      </c>
      <c r="E19" t="s">
        <v>58</v>
      </c>
      <c r="F19" t="s">
        <v>59</v>
      </c>
      <c r="G19" t="s">
        <v>14</v>
      </c>
      <c r="H19" s="36"/>
    </row>
    <row r="20" spans="1:8">
      <c r="A20" s="3">
        <v>19</v>
      </c>
      <c r="B20" s="4">
        <v>45155</v>
      </c>
      <c r="C20" s="3" t="s">
        <v>19</v>
      </c>
      <c r="D20" s="3" t="s">
        <v>60</v>
      </c>
      <c r="E20" t="s">
        <v>61</v>
      </c>
      <c r="F20" t="s">
        <v>59</v>
      </c>
      <c r="G20" t="s">
        <v>14</v>
      </c>
      <c r="H20" s="36"/>
    </row>
    <row r="21" spans="1:8">
      <c r="A21" s="3">
        <v>20</v>
      </c>
      <c r="B21" s="4">
        <v>45155</v>
      </c>
      <c r="C21" s="3" t="s">
        <v>19</v>
      </c>
      <c r="D21" s="3" t="s">
        <v>62</v>
      </c>
      <c r="E21" t="s">
        <v>63</v>
      </c>
      <c r="F21" t="s">
        <v>59</v>
      </c>
      <c r="G21" t="s">
        <v>14</v>
      </c>
      <c r="H21" s="36"/>
    </row>
    <row r="22" spans="1:8">
      <c r="A22" s="3">
        <v>20</v>
      </c>
      <c r="B22" s="4">
        <v>45155</v>
      </c>
      <c r="C22" s="3" t="s">
        <v>19</v>
      </c>
      <c r="D22" s="37" t="s">
        <v>64</v>
      </c>
      <c r="E22" s="37"/>
      <c r="F22" s="37"/>
      <c r="G22" t="s">
        <v>14</v>
      </c>
      <c r="H22" t="s">
        <v>65</v>
      </c>
    </row>
    <row r="31" spans="1:8">
      <c r="C31"/>
      <c r="D31" s="3"/>
    </row>
    <row r="32" spans="1:8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  <row r="49" spans="3:3">
      <c r="C49"/>
    </row>
    <row r="50" spans="3:3">
      <c r="C50"/>
    </row>
  </sheetData>
  <mergeCells count="3">
    <mergeCell ref="D2:F2"/>
    <mergeCell ref="H3:H21"/>
    <mergeCell ref="D22:F2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C9C2-D6F6-5946-8FDD-8DD201F22BEA}">
  <sheetPr>
    <tabColor theme="4"/>
  </sheetPr>
  <dimension ref="A1:AC35"/>
  <sheetViews>
    <sheetView tabSelected="1" topLeftCell="E1" zoomScale="210" zoomScaleNormal="210" workbookViewId="0">
      <selection activeCell="N29" sqref="N29"/>
    </sheetView>
  </sheetViews>
  <sheetFormatPr defaultColWidth="11.140625" defaultRowHeight="12.95"/>
  <cols>
    <col min="1" max="1" width="4" style="9" bestFit="1" customWidth="1"/>
    <col min="2" max="2" width="7.140625" bestFit="1" customWidth="1"/>
    <col min="5" max="5" width="35.42578125" bestFit="1" customWidth="1"/>
    <col min="6" max="6" width="26.42578125" bestFit="1" customWidth="1"/>
    <col min="7" max="9" width="10.5703125" style="32"/>
    <col min="10" max="10" width="11.140625" style="3" bestFit="1" customWidth="1"/>
    <col min="11" max="11" width="17.140625" customWidth="1"/>
    <col min="12" max="12" width="25.85546875" customWidth="1"/>
    <col min="13" max="13" width="16.140625" customWidth="1"/>
  </cols>
  <sheetData>
    <row r="1" spans="1:29" s="1" customFormat="1" ht="14.4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2" t="s">
        <v>66</v>
      </c>
      <c r="H1" s="32" t="s">
        <v>67</v>
      </c>
      <c r="I1" s="32" t="s">
        <v>68</v>
      </c>
      <c r="J1" s="2" t="s">
        <v>6</v>
      </c>
      <c r="K1" s="1" t="s">
        <v>69</v>
      </c>
      <c r="L1" s="7" t="s">
        <v>9</v>
      </c>
      <c r="M1" s="1" t="s">
        <v>10</v>
      </c>
      <c r="N1" s="1" t="s">
        <v>11</v>
      </c>
    </row>
    <row r="2" spans="1:29">
      <c r="A2" s="38">
        <v>1</v>
      </c>
      <c r="B2" s="4">
        <v>45153</v>
      </c>
      <c r="C2" s="40" t="s">
        <v>12</v>
      </c>
      <c r="D2" s="25" t="s">
        <v>70</v>
      </c>
      <c r="E2" t="s">
        <v>71</v>
      </c>
      <c r="F2" t="s">
        <v>72</v>
      </c>
      <c r="G2" s="33">
        <v>27</v>
      </c>
      <c r="H2" s="32" t="s">
        <v>73</v>
      </c>
      <c r="I2" s="33">
        <v>4</v>
      </c>
      <c r="J2" s="30" t="s">
        <v>14</v>
      </c>
      <c r="K2" s="5" t="s">
        <v>0</v>
      </c>
      <c r="L2" t="s">
        <v>74</v>
      </c>
      <c r="M2" t="s">
        <v>75</v>
      </c>
    </row>
    <row r="3" spans="1:29">
      <c r="A3" s="38"/>
      <c r="B3" s="4">
        <v>45153</v>
      </c>
      <c r="C3" s="40"/>
      <c r="D3" s="25" t="s">
        <v>70</v>
      </c>
      <c r="E3" t="s">
        <v>76</v>
      </c>
      <c r="F3" t="s">
        <v>77</v>
      </c>
      <c r="G3" s="33">
        <v>58</v>
      </c>
      <c r="H3" s="33" t="s">
        <v>73</v>
      </c>
      <c r="I3" s="33">
        <v>3</v>
      </c>
      <c r="J3" s="30" t="s">
        <v>14</v>
      </c>
      <c r="K3" s="29" t="s">
        <v>78</v>
      </c>
      <c r="L3" t="s">
        <v>79</v>
      </c>
      <c r="M3" t="s">
        <v>75</v>
      </c>
    </row>
    <row r="4" spans="1:29">
      <c r="A4" s="38">
        <v>2</v>
      </c>
      <c r="B4" s="4">
        <v>45153</v>
      </c>
      <c r="C4" s="39" t="s">
        <v>19</v>
      </c>
      <c r="D4" s="31" t="s">
        <v>80</v>
      </c>
      <c r="E4" t="s">
        <v>81</v>
      </c>
      <c r="F4" t="s">
        <v>82</v>
      </c>
      <c r="G4" s="33">
        <v>45</v>
      </c>
      <c r="H4" s="32" t="s">
        <v>83</v>
      </c>
      <c r="I4" s="33">
        <v>9</v>
      </c>
      <c r="J4" s="30" t="s">
        <v>14</v>
      </c>
      <c r="K4" t="s">
        <v>78</v>
      </c>
      <c r="L4" t="s">
        <v>79</v>
      </c>
      <c r="M4" t="s">
        <v>75</v>
      </c>
    </row>
    <row r="5" spans="1:29">
      <c r="A5" s="38"/>
      <c r="B5" s="4">
        <v>45153</v>
      </c>
      <c r="C5" s="48"/>
      <c r="D5" s="31" t="s">
        <v>80</v>
      </c>
      <c r="E5" t="s">
        <v>84</v>
      </c>
      <c r="F5" t="s">
        <v>85</v>
      </c>
      <c r="G5" s="33">
        <v>36</v>
      </c>
      <c r="H5" s="33" t="s">
        <v>83</v>
      </c>
      <c r="I5" s="33">
        <v>6</v>
      </c>
      <c r="J5" s="30" t="s">
        <v>14</v>
      </c>
      <c r="K5" t="s">
        <v>86</v>
      </c>
      <c r="L5" t="s">
        <v>74</v>
      </c>
      <c r="M5" t="s">
        <v>75</v>
      </c>
    </row>
    <row r="6" spans="1:29">
      <c r="A6" s="39">
        <v>3</v>
      </c>
      <c r="B6" s="4">
        <v>45153</v>
      </c>
      <c r="C6" s="39" t="s">
        <v>19</v>
      </c>
      <c r="D6" s="31" t="s">
        <v>87</v>
      </c>
      <c r="E6" t="s">
        <v>88</v>
      </c>
      <c r="F6" t="s">
        <v>89</v>
      </c>
      <c r="G6" s="33">
        <v>20</v>
      </c>
      <c r="H6" s="33" t="s">
        <v>83</v>
      </c>
      <c r="I6" s="33">
        <v>4</v>
      </c>
      <c r="J6" s="26" t="s">
        <v>14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>
      <c r="A7" s="38"/>
      <c r="B7" s="4">
        <v>45153</v>
      </c>
      <c r="C7" s="48"/>
      <c r="D7" s="31" t="s">
        <v>87</v>
      </c>
      <c r="E7" t="s">
        <v>90</v>
      </c>
      <c r="F7" t="s">
        <v>91</v>
      </c>
      <c r="G7" s="33">
        <v>45</v>
      </c>
      <c r="H7" s="33" t="s">
        <v>73</v>
      </c>
      <c r="I7" s="33">
        <v>5</v>
      </c>
      <c r="J7" s="26" t="s">
        <v>14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>
      <c r="A8" s="38">
        <v>4</v>
      </c>
      <c r="B8" s="4">
        <v>45155</v>
      </c>
      <c r="C8" s="38" t="s">
        <v>12</v>
      </c>
      <c r="D8" s="25" t="s">
        <v>92</v>
      </c>
      <c r="E8" t="s">
        <v>93</v>
      </c>
      <c r="F8" t="s">
        <v>94</v>
      </c>
      <c r="G8" s="33">
        <v>40</v>
      </c>
      <c r="H8" s="33" t="s">
        <v>73</v>
      </c>
      <c r="I8" s="33">
        <v>7</v>
      </c>
      <c r="J8" s="3" t="s">
        <v>14</v>
      </c>
      <c r="K8" t="s">
        <v>95</v>
      </c>
      <c r="L8" t="s">
        <v>79</v>
      </c>
      <c r="M8" t="s">
        <v>75</v>
      </c>
    </row>
    <row r="9" spans="1:29">
      <c r="A9" s="38"/>
      <c r="B9" s="4">
        <v>45155</v>
      </c>
      <c r="C9" s="38"/>
      <c r="D9" s="25" t="s">
        <v>92</v>
      </c>
      <c r="E9" t="s">
        <v>96</v>
      </c>
      <c r="F9" t="s">
        <v>94</v>
      </c>
      <c r="G9" s="33">
        <v>18</v>
      </c>
      <c r="H9" s="33" t="s">
        <v>73</v>
      </c>
      <c r="I9" s="33">
        <v>3</v>
      </c>
      <c r="J9" s="3" t="s">
        <v>14</v>
      </c>
      <c r="K9" t="s">
        <v>0</v>
      </c>
      <c r="L9" t="s">
        <v>74</v>
      </c>
      <c r="M9" t="s">
        <v>75</v>
      </c>
    </row>
    <row r="10" spans="1:29">
      <c r="A10" s="38">
        <v>5</v>
      </c>
      <c r="B10" s="4">
        <v>45155</v>
      </c>
      <c r="C10" s="38" t="s">
        <v>12</v>
      </c>
      <c r="D10" s="25" t="s">
        <v>97</v>
      </c>
      <c r="E10" t="s">
        <v>98</v>
      </c>
      <c r="F10" t="s">
        <v>94</v>
      </c>
      <c r="G10" s="33">
        <v>27</v>
      </c>
      <c r="H10" s="33" t="s">
        <v>83</v>
      </c>
      <c r="I10" s="33">
        <v>6</v>
      </c>
      <c r="J10" s="3" t="s">
        <v>14</v>
      </c>
      <c r="K10" t="s">
        <v>0</v>
      </c>
      <c r="L10" t="s">
        <v>74</v>
      </c>
      <c r="M10" t="s">
        <v>75</v>
      </c>
    </row>
    <row r="11" spans="1:29">
      <c r="A11" s="38"/>
      <c r="B11" s="4">
        <v>45155</v>
      </c>
      <c r="C11" s="38"/>
      <c r="D11" s="25" t="s">
        <v>97</v>
      </c>
      <c r="E11" t="s">
        <v>99</v>
      </c>
      <c r="F11" t="s">
        <v>100</v>
      </c>
      <c r="G11" s="33">
        <v>55</v>
      </c>
      <c r="H11" s="33" t="s">
        <v>83</v>
      </c>
      <c r="I11" s="33">
        <v>6</v>
      </c>
      <c r="J11" s="3" t="s">
        <v>14</v>
      </c>
      <c r="K11" t="s">
        <v>78</v>
      </c>
      <c r="L11" t="s">
        <v>79</v>
      </c>
      <c r="M11" t="s">
        <v>75</v>
      </c>
    </row>
    <row r="12" spans="1:29">
      <c r="A12" s="38">
        <v>6</v>
      </c>
      <c r="B12" s="4">
        <v>45155</v>
      </c>
      <c r="C12" s="38" t="s">
        <v>12</v>
      </c>
      <c r="D12" s="25" t="s">
        <v>101</v>
      </c>
      <c r="E12" t="s">
        <v>102</v>
      </c>
      <c r="F12" t="s">
        <v>103</v>
      </c>
      <c r="G12" s="33">
        <v>80</v>
      </c>
      <c r="H12" s="33" t="s">
        <v>73</v>
      </c>
      <c r="I12" s="33">
        <v>7</v>
      </c>
      <c r="J12" s="26" t="s">
        <v>14</v>
      </c>
      <c r="K12" t="s">
        <v>78</v>
      </c>
      <c r="L12" t="s">
        <v>79</v>
      </c>
      <c r="M12" t="s">
        <v>75</v>
      </c>
    </row>
    <row r="13" spans="1:29">
      <c r="A13" s="38"/>
      <c r="B13" s="4">
        <v>45155</v>
      </c>
      <c r="C13" s="38"/>
      <c r="D13" s="25" t="s">
        <v>101</v>
      </c>
      <c r="E13" t="s">
        <v>104</v>
      </c>
      <c r="F13" t="s">
        <v>103</v>
      </c>
      <c r="G13" s="33">
        <v>25</v>
      </c>
      <c r="H13" s="33" t="s">
        <v>73</v>
      </c>
      <c r="I13" s="33">
        <v>6</v>
      </c>
      <c r="J13" s="26" t="s">
        <v>14</v>
      </c>
      <c r="K13" t="s">
        <v>0</v>
      </c>
      <c r="L13" t="s">
        <v>74</v>
      </c>
      <c r="M13" t="s">
        <v>75</v>
      </c>
    </row>
    <row r="14" spans="1:29">
      <c r="A14" s="38">
        <v>7</v>
      </c>
      <c r="B14" s="4">
        <v>45160</v>
      </c>
      <c r="C14" s="38" t="s">
        <v>12</v>
      </c>
      <c r="D14" s="25" t="s">
        <v>105</v>
      </c>
      <c r="E14" t="s">
        <v>106</v>
      </c>
      <c r="F14" t="s">
        <v>107</v>
      </c>
      <c r="G14" s="33">
        <v>23</v>
      </c>
      <c r="H14" s="33" t="s">
        <v>73</v>
      </c>
      <c r="I14" s="33">
        <v>5</v>
      </c>
      <c r="J14" s="3" t="s">
        <v>14</v>
      </c>
      <c r="K14" t="s">
        <v>0</v>
      </c>
      <c r="L14" t="s">
        <v>74</v>
      </c>
      <c r="M14" t="s">
        <v>75</v>
      </c>
    </row>
    <row r="15" spans="1:29">
      <c r="A15" s="38"/>
      <c r="B15" s="4">
        <v>45160</v>
      </c>
      <c r="C15" s="38"/>
      <c r="D15" s="25" t="s">
        <v>105</v>
      </c>
      <c r="E15" t="s">
        <v>108</v>
      </c>
      <c r="F15" t="s">
        <v>107</v>
      </c>
      <c r="G15" s="33">
        <v>35</v>
      </c>
      <c r="H15" s="33" t="s">
        <v>73</v>
      </c>
      <c r="I15" s="33">
        <v>6</v>
      </c>
      <c r="J15" s="3" t="s">
        <v>14</v>
      </c>
      <c r="K15" t="s">
        <v>78</v>
      </c>
      <c r="L15" t="s">
        <v>79</v>
      </c>
      <c r="M15" t="s">
        <v>75</v>
      </c>
    </row>
    <row r="16" spans="1:29">
      <c r="A16" s="38">
        <v>8</v>
      </c>
      <c r="B16" s="4">
        <v>45160</v>
      </c>
      <c r="C16" s="38" t="s">
        <v>12</v>
      </c>
      <c r="D16" s="25" t="s">
        <v>109</v>
      </c>
      <c r="E16" t="s">
        <v>110</v>
      </c>
      <c r="F16" t="s">
        <v>107</v>
      </c>
      <c r="G16" s="33">
        <v>45</v>
      </c>
      <c r="H16" s="33" t="s">
        <v>83</v>
      </c>
      <c r="I16" s="33">
        <v>6</v>
      </c>
      <c r="J16" s="3" t="s">
        <v>14</v>
      </c>
      <c r="K16" t="s">
        <v>78</v>
      </c>
      <c r="L16" t="s">
        <v>79</v>
      </c>
      <c r="M16" t="s">
        <v>75</v>
      </c>
    </row>
    <row r="17" spans="1:13">
      <c r="A17" s="38"/>
      <c r="B17" s="4">
        <v>45160</v>
      </c>
      <c r="C17" s="38"/>
      <c r="D17" s="25" t="s">
        <v>109</v>
      </c>
      <c r="E17" t="s">
        <v>111</v>
      </c>
      <c r="F17" t="s">
        <v>72</v>
      </c>
      <c r="G17" s="33">
        <v>34</v>
      </c>
      <c r="H17" s="33" t="s">
        <v>83</v>
      </c>
      <c r="I17" s="33">
        <v>5</v>
      </c>
      <c r="J17" s="3" t="s">
        <v>14</v>
      </c>
      <c r="K17" t="s">
        <v>0</v>
      </c>
      <c r="L17" t="s">
        <v>74</v>
      </c>
      <c r="M17" t="s">
        <v>75</v>
      </c>
    </row>
    <row r="18" spans="1:13">
      <c r="A18" s="38">
        <v>9</v>
      </c>
      <c r="B18" s="4">
        <v>45160</v>
      </c>
      <c r="C18" s="38" t="s">
        <v>12</v>
      </c>
      <c r="D18" s="25" t="s">
        <v>112</v>
      </c>
      <c r="E18" t="s">
        <v>113</v>
      </c>
      <c r="F18" t="s">
        <v>107</v>
      </c>
      <c r="G18" s="33">
        <v>65</v>
      </c>
      <c r="H18" s="33" t="s">
        <v>73</v>
      </c>
      <c r="I18" s="33">
        <v>6</v>
      </c>
      <c r="J18" s="26" t="s">
        <v>14</v>
      </c>
      <c r="K18" t="s">
        <v>78</v>
      </c>
      <c r="L18" t="s">
        <v>79</v>
      </c>
      <c r="M18" t="s">
        <v>75</v>
      </c>
    </row>
    <row r="19" spans="1:13">
      <c r="A19" s="38"/>
      <c r="B19" s="4">
        <v>45160</v>
      </c>
      <c r="C19" s="38"/>
      <c r="D19" s="25" t="s">
        <v>112</v>
      </c>
      <c r="E19" t="s">
        <v>114</v>
      </c>
      <c r="F19" t="s">
        <v>107</v>
      </c>
      <c r="G19" s="33">
        <v>34</v>
      </c>
      <c r="H19" s="33" t="s">
        <v>73</v>
      </c>
      <c r="I19" s="33">
        <v>6</v>
      </c>
      <c r="J19" s="26" t="s">
        <v>14</v>
      </c>
      <c r="K19" t="s">
        <v>0</v>
      </c>
      <c r="L19" t="s">
        <v>74</v>
      </c>
      <c r="M19" t="s">
        <v>75</v>
      </c>
    </row>
    <row r="20" spans="1:13">
      <c r="A20" s="38">
        <v>10</v>
      </c>
      <c r="B20" s="4">
        <v>45160</v>
      </c>
      <c r="C20" s="38" t="s">
        <v>12</v>
      </c>
      <c r="D20" s="25" t="s">
        <v>115</v>
      </c>
      <c r="E20" t="s">
        <v>116</v>
      </c>
      <c r="F20" t="s">
        <v>107</v>
      </c>
      <c r="G20" s="33">
        <v>35</v>
      </c>
      <c r="H20" s="33" t="s">
        <v>83</v>
      </c>
      <c r="I20" s="33">
        <v>10</v>
      </c>
      <c r="J20" s="3" t="s">
        <v>14</v>
      </c>
      <c r="K20" t="s">
        <v>0</v>
      </c>
      <c r="L20" t="s">
        <v>74</v>
      </c>
      <c r="M20" t="s">
        <v>75</v>
      </c>
    </row>
    <row r="21" spans="1:13">
      <c r="A21" s="38"/>
      <c r="B21" s="4">
        <v>45160</v>
      </c>
      <c r="C21" s="38"/>
      <c r="D21" s="25" t="s">
        <v>115</v>
      </c>
      <c r="E21" t="s">
        <v>117</v>
      </c>
      <c r="F21" t="s">
        <v>107</v>
      </c>
      <c r="G21" s="33">
        <v>20</v>
      </c>
      <c r="H21" s="33" t="s">
        <v>73</v>
      </c>
      <c r="I21" s="33">
        <v>5</v>
      </c>
      <c r="J21" s="3" t="s">
        <v>14</v>
      </c>
      <c r="K21" t="s">
        <v>78</v>
      </c>
      <c r="L21" t="s">
        <v>79</v>
      </c>
      <c r="M21" t="s">
        <v>75</v>
      </c>
    </row>
    <row r="22" spans="1:13">
      <c r="A22" s="38">
        <v>11</v>
      </c>
      <c r="B22" s="4">
        <v>45162</v>
      </c>
      <c r="C22" s="38" t="s">
        <v>12</v>
      </c>
      <c r="D22" s="25" t="s">
        <v>118</v>
      </c>
      <c r="E22" t="s">
        <v>119</v>
      </c>
      <c r="F22" t="s">
        <v>120</v>
      </c>
      <c r="G22" s="34">
        <v>40</v>
      </c>
      <c r="H22" s="33" t="s">
        <v>73</v>
      </c>
      <c r="I22" s="34">
        <v>5</v>
      </c>
      <c r="J22" s="3" t="s">
        <v>14</v>
      </c>
      <c r="K22" t="s">
        <v>95</v>
      </c>
      <c r="L22" t="s">
        <v>79</v>
      </c>
      <c r="M22" t="s">
        <v>75</v>
      </c>
    </row>
    <row r="23" spans="1:13">
      <c r="A23" s="38"/>
      <c r="B23" s="4">
        <v>45162</v>
      </c>
      <c r="C23" s="38"/>
      <c r="D23" s="25" t="s">
        <v>118</v>
      </c>
      <c r="E23" t="s">
        <v>121</v>
      </c>
      <c r="F23" t="s">
        <v>122</v>
      </c>
      <c r="G23" s="34">
        <v>47</v>
      </c>
      <c r="H23" s="33" t="s">
        <v>73</v>
      </c>
      <c r="I23" s="34">
        <v>4</v>
      </c>
      <c r="J23" s="3" t="s">
        <v>14</v>
      </c>
      <c r="K23" t="s">
        <v>0</v>
      </c>
      <c r="L23" t="s">
        <v>74</v>
      </c>
      <c r="M23" t="s">
        <v>75</v>
      </c>
    </row>
    <row r="24" spans="1:13">
      <c r="A24" s="38">
        <v>12</v>
      </c>
      <c r="B24" s="4">
        <v>45162</v>
      </c>
      <c r="C24" s="38" t="s">
        <v>12</v>
      </c>
      <c r="D24" s="25" t="s">
        <v>123</v>
      </c>
      <c r="E24" t="s">
        <v>124</v>
      </c>
      <c r="F24" t="s">
        <v>107</v>
      </c>
      <c r="G24" s="34">
        <v>37</v>
      </c>
      <c r="H24" s="33" t="s">
        <v>83</v>
      </c>
      <c r="I24" s="34">
        <v>7</v>
      </c>
      <c r="J24" s="26" t="s">
        <v>14</v>
      </c>
      <c r="K24" t="s">
        <v>78</v>
      </c>
      <c r="L24" t="s">
        <v>79</v>
      </c>
      <c r="M24" t="s">
        <v>75</v>
      </c>
    </row>
    <row r="25" spans="1:13">
      <c r="A25" s="38"/>
      <c r="B25" s="4">
        <v>45162</v>
      </c>
      <c r="C25" s="38"/>
      <c r="D25" s="25" t="s">
        <v>123</v>
      </c>
      <c r="E25" t="s">
        <v>125</v>
      </c>
      <c r="F25" t="s">
        <v>126</v>
      </c>
      <c r="G25" s="34">
        <v>93</v>
      </c>
      <c r="H25" s="33" t="s">
        <v>83</v>
      </c>
      <c r="I25" s="34">
        <v>4</v>
      </c>
      <c r="J25" s="26" t="s">
        <v>14</v>
      </c>
      <c r="K25" t="s">
        <v>0</v>
      </c>
      <c r="L25" t="s">
        <v>74</v>
      </c>
      <c r="M25" t="s">
        <v>75</v>
      </c>
    </row>
    <row r="26" spans="1:13">
      <c r="A26" s="38">
        <v>13</v>
      </c>
      <c r="B26" s="4">
        <v>45162</v>
      </c>
      <c r="C26" s="38" t="s">
        <v>12</v>
      </c>
      <c r="D26" s="25" t="s">
        <v>127</v>
      </c>
      <c r="E26" t="s">
        <v>128</v>
      </c>
      <c r="F26" t="s">
        <v>126</v>
      </c>
      <c r="G26" s="34">
        <v>23</v>
      </c>
      <c r="H26" s="33" t="s">
        <v>73</v>
      </c>
      <c r="I26" s="34">
        <v>2</v>
      </c>
      <c r="J26" s="3" t="s">
        <v>14</v>
      </c>
      <c r="K26" t="s">
        <v>78</v>
      </c>
      <c r="L26" t="s">
        <v>79</v>
      </c>
      <c r="M26" t="s">
        <v>75</v>
      </c>
    </row>
    <row r="27" spans="1:13">
      <c r="A27" s="38"/>
      <c r="B27" s="4">
        <v>45162</v>
      </c>
      <c r="C27" s="38"/>
      <c r="D27" s="25" t="s">
        <v>127</v>
      </c>
      <c r="E27" t="s">
        <v>129</v>
      </c>
      <c r="F27" t="s">
        <v>107</v>
      </c>
      <c r="G27" s="34">
        <v>23</v>
      </c>
      <c r="H27" s="33" t="s">
        <v>73</v>
      </c>
      <c r="I27" s="34">
        <v>5</v>
      </c>
      <c r="J27" s="3" t="s">
        <v>14</v>
      </c>
      <c r="K27" t="s">
        <v>0</v>
      </c>
      <c r="L27" t="s">
        <v>74</v>
      </c>
      <c r="M27" t="s">
        <v>75</v>
      </c>
    </row>
    <row r="28" spans="1:13">
      <c r="A28" s="38">
        <v>14</v>
      </c>
      <c r="B28" s="4">
        <v>45187</v>
      </c>
      <c r="C28" s="39" t="s">
        <v>19</v>
      </c>
      <c r="D28" s="31" t="s">
        <v>130</v>
      </c>
      <c r="E28" t="s">
        <v>131</v>
      </c>
      <c r="F28" t="s">
        <v>132</v>
      </c>
      <c r="G28" s="34">
        <v>70</v>
      </c>
      <c r="H28" s="33" t="s">
        <v>73</v>
      </c>
      <c r="I28" s="34">
        <v>6</v>
      </c>
      <c r="J28" s="3" t="s">
        <v>14</v>
      </c>
      <c r="L28" t="s">
        <v>133</v>
      </c>
    </row>
    <row r="29" spans="1:13">
      <c r="A29" s="38"/>
      <c r="B29" s="4">
        <v>45187</v>
      </c>
      <c r="C29" s="48"/>
      <c r="D29" s="31" t="s">
        <v>130</v>
      </c>
      <c r="E29" t="s">
        <v>134</v>
      </c>
      <c r="F29" t="s">
        <v>132</v>
      </c>
      <c r="G29" s="34">
        <v>70</v>
      </c>
      <c r="H29" s="33" t="s">
        <v>73</v>
      </c>
      <c r="I29" s="34">
        <v>6</v>
      </c>
      <c r="J29" s="3" t="s">
        <v>14</v>
      </c>
    </row>
    <row r="30" spans="1:13">
      <c r="A30" s="38">
        <v>15</v>
      </c>
      <c r="B30" s="4">
        <v>45187</v>
      </c>
      <c r="C30" s="39" t="s">
        <v>19</v>
      </c>
      <c r="D30" s="31" t="s">
        <v>135</v>
      </c>
      <c r="E30" t="s">
        <v>136</v>
      </c>
      <c r="F30" t="s">
        <v>82</v>
      </c>
      <c r="G30" s="34">
        <v>35</v>
      </c>
      <c r="H30" s="33" t="s">
        <v>73</v>
      </c>
      <c r="I30" s="34">
        <v>6</v>
      </c>
      <c r="J30" s="26" t="s">
        <v>14</v>
      </c>
      <c r="K30" t="s">
        <v>78</v>
      </c>
      <c r="L30" t="s">
        <v>79</v>
      </c>
      <c r="M30" t="s">
        <v>75</v>
      </c>
    </row>
    <row r="31" spans="1:13">
      <c r="A31" s="38"/>
      <c r="B31" s="4">
        <v>45187</v>
      </c>
      <c r="C31" s="48"/>
      <c r="D31" s="31" t="s">
        <v>135</v>
      </c>
      <c r="E31" t="s">
        <v>137</v>
      </c>
      <c r="F31" t="s">
        <v>82</v>
      </c>
      <c r="G31" s="34">
        <v>40</v>
      </c>
      <c r="H31" s="33" t="s">
        <v>73</v>
      </c>
      <c r="I31" s="34">
        <v>9</v>
      </c>
      <c r="J31" s="26" t="s">
        <v>14</v>
      </c>
      <c r="K31" t="s">
        <v>0</v>
      </c>
      <c r="L31" t="s">
        <v>74</v>
      </c>
      <c r="M31" t="s">
        <v>75</v>
      </c>
    </row>
    <row r="32" spans="1:13">
      <c r="A32" s="38">
        <v>16</v>
      </c>
      <c r="B32" s="4">
        <v>45187</v>
      </c>
      <c r="C32" s="39" t="s">
        <v>19</v>
      </c>
      <c r="D32" s="31" t="s">
        <v>138</v>
      </c>
      <c r="E32" t="s">
        <v>139</v>
      </c>
      <c r="F32" t="s">
        <v>140</v>
      </c>
      <c r="G32" s="34">
        <v>19</v>
      </c>
      <c r="H32" s="33" t="s">
        <v>73</v>
      </c>
      <c r="I32" s="34">
        <v>8</v>
      </c>
      <c r="J32" s="3" t="s">
        <v>14</v>
      </c>
    </row>
    <row r="33" spans="1:12">
      <c r="A33" s="38"/>
      <c r="B33" s="4">
        <v>45187</v>
      </c>
      <c r="C33" s="48"/>
      <c r="D33" s="31" t="s">
        <v>138</v>
      </c>
      <c r="E33" t="s">
        <v>141</v>
      </c>
      <c r="F33" t="s">
        <v>140</v>
      </c>
      <c r="G33" s="34">
        <v>29</v>
      </c>
      <c r="H33" s="33" t="s">
        <v>83</v>
      </c>
      <c r="I33" s="34">
        <v>5</v>
      </c>
      <c r="J33" s="3" t="s">
        <v>14</v>
      </c>
    </row>
    <row r="34" spans="1:12">
      <c r="A34" s="38">
        <v>17</v>
      </c>
      <c r="B34" s="4">
        <v>45187</v>
      </c>
      <c r="C34" s="39" t="s">
        <v>19</v>
      </c>
      <c r="D34" s="31" t="s">
        <v>142</v>
      </c>
      <c r="E34" t="s">
        <v>143</v>
      </c>
      <c r="F34" t="s">
        <v>91</v>
      </c>
      <c r="G34" s="34">
        <v>60</v>
      </c>
      <c r="H34" s="33" t="s">
        <v>83</v>
      </c>
      <c r="I34" s="34">
        <v>13</v>
      </c>
      <c r="J34" s="3" t="s">
        <v>14</v>
      </c>
      <c r="L34" t="s">
        <v>144</v>
      </c>
    </row>
    <row r="35" spans="1:12">
      <c r="A35" s="38"/>
      <c r="B35" s="4">
        <v>45187</v>
      </c>
      <c r="C35" s="48"/>
      <c r="D35" s="31" t="s">
        <v>142</v>
      </c>
      <c r="E35" t="s">
        <v>145</v>
      </c>
      <c r="F35" t="s">
        <v>91</v>
      </c>
      <c r="G35" s="34">
        <v>60</v>
      </c>
      <c r="H35" s="33" t="s">
        <v>83</v>
      </c>
      <c r="I35" s="34">
        <v>13</v>
      </c>
      <c r="J35" s="3" t="s">
        <v>14</v>
      </c>
    </row>
  </sheetData>
  <mergeCells count="34">
    <mergeCell ref="A34:A35"/>
    <mergeCell ref="C34:C35"/>
    <mergeCell ref="A28:A29"/>
    <mergeCell ref="A30:A31"/>
    <mergeCell ref="A32:A33"/>
    <mergeCell ref="C28:C29"/>
    <mergeCell ref="C30:C31"/>
    <mergeCell ref="C32:C33"/>
    <mergeCell ref="A6:A7"/>
    <mergeCell ref="C6:C7"/>
    <mergeCell ref="A2:A3"/>
    <mergeCell ref="A4:A5"/>
    <mergeCell ref="C2:C3"/>
    <mergeCell ref="C4:C5"/>
    <mergeCell ref="A8:A9"/>
    <mergeCell ref="A10:A11"/>
    <mergeCell ref="A12:A13"/>
    <mergeCell ref="C8:C9"/>
    <mergeCell ref="C10:C11"/>
    <mergeCell ref="C12:C13"/>
    <mergeCell ref="A24:A25"/>
    <mergeCell ref="A26:A27"/>
    <mergeCell ref="C24:C25"/>
    <mergeCell ref="C26:C27"/>
    <mergeCell ref="C14:C15"/>
    <mergeCell ref="C16:C17"/>
    <mergeCell ref="C18:C19"/>
    <mergeCell ref="C20:C21"/>
    <mergeCell ref="C22:C23"/>
    <mergeCell ref="A14:A15"/>
    <mergeCell ref="A16:A17"/>
    <mergeCell ref="A18:A19"/>
    <mergeCell ref="A20:A21"/>
    <mergeCell ref="A22:A23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3771-CFB2-114D-9839-405126CD57DA}">
  <sheetPr>
    <tabColor theme="7"/>
  </sheetPr>
  <dimension ref="A1:R15"/>
  <sheetViews>
    <sheetView workbookViewId="0">
      <selection activeCell="C6" sqref="C6"/>
    </sheetView>
  </sheetViews>
  <sheetFormatPr defaultColWidth="11.140625" defaultRowHeight="12.95"/>
  <cols>
    <col min="1" max="1" width="11" style="9"/>
    <col min="2" max="2" width="11.5703125" bestFit="1" customWidth="1"/>
    <col min="3" max="3" width="19.5703125" bestFit="1" customWidth="1"/>
    <col min="4" max="5" width="10.85546875" bestFit="1" customWidth="1"/>
    <col min="6" max="6" width="17.5703125" bestFit="1" customWidth="1"/>
    <col min="7" max="7" width="17.5703125" customWidth="1"/>
    <col min="8" max="8" width="19" bestFit="1" customWidth="1"/>
    <col min="9" max="9" width="36.42578125" customWidth="1"/>
    <col min="11" max="11" width="26.42578125" customWidth="1"/>
    <col min="12" max="12" width="37.140625" customWidth="1"/>
    <col min="13" max="13" width="36.85546875" customWidth="1"/>
    <col min="14" max="14" width="14.140625" bestFit="1" customWidth="1"/>
    <col min="15" max="15" width="17.85546875" bestFit="1" customWidth="1"/>
  </cols>
  <sheetData>
    <row r="1" spans="1:18" s="16" customFormat="1" ht="26.45" thickBot="1">
      <c r="A1" s="11" t="s">
        <v>146</v>
      </c>
      <c r="B1" s="10" t="s">
        <v>3</v>
      </c>
      <c r="C1" s="10" t="s">
        <v>147</v>
      </c>
      <c r="D1" s="10" t="s">
        <v>66</v>
      </c>
      <c r="E1" s="10" t="s">
        <v>67</v>
      </c>
      <c r="F1" s="10" t="s">
        <v>148</v>
      </c>
      <c r="G1" s="10" t="s">
        <v>149</v>
      </c>
      <c r="H1" s="10" t="s">
        <v>150</v>
      </c>
      <c r="I1" s="10" t="s">
        <v>151</v>
      </c>
      <c r="J1" s="12" t="s">
        <v>6</v>
      </c>
      <c r="K1" s="13" t="s">
        <v>152</v>
      </c>
      <c r="L1" s="13" t="s">
        <v>153</v>
      </c>
      <c r="M1" s="13" t="s">
        <v>154</v>
      </c>
      <c r="N1" s="14" t="s">
        <v>10</v>
      </c>
      <c r="O1" s="14" t="s">
        <v>9</v>
      </c>
      <c r="P1" s="14" t="s">
        <v>11</v>
      </c>
      <c r="Q1" s="15"/>
      <c r="R1" s="15"/>
    </row>
    <row r="2" spans="1:18">
      <c r="A2" s="9">
        <v>3</v>
      </c>
      <c r="B2" t="s">
        <v>155</v>
      </c>
      <c r="C2" t="s">
        <v>107</v>
      </c>
      <c r="D2">
        <v>50</v>
      </c>
      <c r="E2" t="s">
        <v>73</v>
      </c>
      <c r="F2" t="s">
        <v>156</v>
      </c>
      <c r="G2" t="s">
        <v>83</v>
      </c>
      <c r="H2" t="s">
        <v>0</v>
      </c>
      <c r="I2" t="s">
        <v>157</v>
      </c>
      <c r="J2" s="5" t="s">
        <v>14</v>
      </c>
      <c r="K2" s="41" t="s">
        <v>158</v>
      </c>
      <c r="L2" t="s">
        <v>159</v>
      </c>
    </row>
    <row r="3" spans="1:18">
      <c r="A3" s="9">
        <v>25</v>
      </c>
      <c r="B3" t="s">
        <v>160</v>
      </c>
      <c r="C3" t="s">
        <v>122</v>
      </c>
      <c r="D3">
        <v>28</v>
      </c>
      <c r="E3" t="s">
        <v>73</v>
      </c>
      <c r="F3" t="s">
        <v>156</v>
      </c>
      <c r="G3" t="s">
        <v>73</v>
      </c>
      <c r="H3" t="s">
        <v>0</v>
      </c>
      <c r="I3" t="s">
        <v>161</v>
      </c>
      <c r="J3" s="5" t="s">
        <v>14</v>
      </c>
      <c r="K3" s="42"/>
    </row>
    <row r="4" spans="1:18">
      <c r="A4" s="9">
        <v>71</v>
      </c>
      <c r="B4" t="s">
        <v>162</v>
      </c>
      <c r="C4" s="24" t="s">
        <v>72</v>
      </c>
      <c r="D4">
        <v>40</v>
      </c>
      <c r="E4" t="s">
        <v>83</v>
      </c>
      <c r="F4" t="s">
        <v>163</v>
      </c>
      <c r="G4" t="s">
        <v>83</v>
      </c>
      <c r="H4" t="s">
        <v>0</v>
      </c>
      <c r="I4" t="s">
        <v>164</v>
      </c>
      <c r="J4" s="5" t="s">
        <v>14</v>
      </c>
      <c r="K4" s="42"/>
    </row>
    <row r="5" spans="1:18">
      <c r="A5" s="9">
        <v>72</v>
      </c>
      <c r="B5" t="s">
        <v>165</v>
      </c>
      <c r="C5" t="s">
        <v>72</v>
      </c>
      <c r="D5">
        <v>19</v>
      </c>
      <c r="E5" t="s">
        <v>73</v>
      </c>
      <c r="F5" t="s">
        <v>166</v>
      </c>
      <c r="G5" t="s">
        <v>83</v>
      </c>
      <c r="H5" t="s">
        <v>0</v>
      </c>
      <c r="I5" t="s">
        <v>167</v>
      </c>
      <c r="J5" s="5" t="s">
        <v>14</v>
      </c>
      <c r="K5" s="42"/>
    </row>
    <row r="6" spans="1:18">
      <c r="A6" s="9">
        <v>73</v>
      </c>
      <c r="B6" t="s">
        <v>168</v>
      </c>
      <c r="C6" t="s">
        <v>72</v>
      </c>
      <c r="D6">
        <v>40</v>
      </c>
      <c r="E6" t="s">
        <v>83</v>
      </c>
      <c r="F6" t="s">
        <v>163</v>
      </c>
      <c r="G6" t="s">
        <v>83</v>
      </c>
      <c r="H6" t="s">
        <v>0</v>
      </c>
      <c r="I6" t="s">
        <v>169</v>
      </c>
      <c r="J6" s="5" t="s">
        <v>14</v>
      </c>
      <c r="K6" s="42"/>
    </row>
    <row r="7" spans="1:18">
      <c r="A7" s="9">
        <v>74</v>
      </c>
      <c r="B7" t="s">
        <v>170</v>
      </c>
      <c r="C7" t="s">
        <v>72</v>
      </c>
      <c r="D7">
        <v>46</v>
      </c>
      <c r="E7" t="s">
        <v>83</v>
      </c>
      <c r="F7" t="s">
        <v>163</v>
      </c>
      <c r="G7" t="s">
        <v>83</v>
      </c>
      <c r="H7" t="s">
        <v>0</v>
      </c>
      <c r="I7" t="s">
        <v>171</v>
      </c>
      <c r="J7" s="5" t="s">
        <v>14</v>
      </c>
      <c r="K7" s="42"/>
    </row>
    <row r="8" spans="1:18">
      <c r="A8" s="9">
        <v>75</v>
      </c>
      <c r="B8" t="s">
        <v>172</v>
      </c>
      <c r="C8" t="s">
        <v>72</v>
      </c>
      <c r="D8">
        <v>35</v>
      </c>
      <c r="E8" t="s">
        <v>73</v>
      </c>
      <c r="F8" t="s">
        <v>163</v>
      </c>
      <c r="G8" t="s">
        <v>83</v>
      </c>
      <c r="H8" t="s">
        <v>18</v>
      </c>
      <c r="I8" t="s">
        <v>173</v>
      </c>
      <c r="J8" s="5" t="s">
        <v>14</v>
      </c>
      <c r="K8" s="42"/>
    </row>
    <row r="9" spans="1:18">
      <c r="A9" s="9">
        <v>76</v>
      </c>
      <c r="B9" t="s">
        <v>174</v>
      </c>
      <c r="C9" t="s">
        <v>72</v>
      </c>
      <c r="D9">
        <v>41</v>
      </c>
      <c r="E9" t="s">
        <v>83</v>
      </c>
      <c r="F9" t="s">
        <v>163</v>
      </c>
      <c r="G9" t="s">
        <v>73</v>
      </c>
      <c r="H9" t="s">
        <v>0</v>
      </c>
      <c r="I9" t="s">
        <v>175</v>
      </c>
      <c r="J9" s="5" t="s">
        <v>14</v>
      </c>
      <c r="K9" s="42"/>
    </row>
    <row r="10" spans="1:18">
      <c r="A10" s="9">
        <v>77</v>
      </c>
      <c r="B10" t="s">
        <v>176</v>
      </c>
      <c r="C10" t="s">
        <v>72</v>
      </c>
      <c r="D10">
        <v>61</v>
      </c>
      <c r="E10" t="s">
        <v>73</v>
      </c>
      <c r="F10" t="s">
        <v>177</v>
      </c>
      <c r="G10" t="s">
        <v>73</v>
      </c>
      <c r="H10" t="s">
        <v>0</v>
      </c>
      <c r="I10" t="s">
        <v>178</v>
      </c>
      <c r="J10" s="5" t="s">
        <v>14</v>
      </c>
      <c r="K10" s="42"/>
    </row>
    <row r="11" spans="1:18">
      <c r="A11" s="9">
        <v>78</v>
      </c>
      <c r="B11" t="s">
        <v>179</v>
      </c>
      <c r="C11" t="s">
        <v>72</v>
      </c>
      <c r="D11">
        <v>18</v>
      </c>
      <c r="E11" t="s">
        <v>83</v>
      </c>
      <c r="F11" t="s">
        <v>156</v>
      </c>
      <c r="G11" t="s">
        <v>83</v>
      </c>
      <c r="H11" t="s">
        <v>0</v>
      </c>
      <c r="I11" t="s">
        <v>180</v>
      </c>
      <c r="J11" s="5" t="s">
        <v>14</v>
      </c>
      <c r="K11" s="42"/>
    </row>
    <row r="12" spans="1:18">
      <c r="A12" s="9">
        <v>79</v>
      </c>
      <c r="B12" t="s">
        <v>181</v>
      </c>
      <c r="C12" t="s">
        <v>72</v>
      </c>
      <c r="D12">
        <v>45</v>
      </c>
      <c r="E12" t="s">
        <v>73</v>
      </c>
      <c r="F12" t="s">
        <v>177</v>
      </c>
      <c r="G12" t="s">
        <v>73</v>
      </c>
      <c r="H12" t="s">
        <v>0</v>
      </c>
      <c r="I12" t="s">
        <v>182</v>
      </c>
      <c r="J12" s="5" t="s">
        <v>14</v>
      </c>
      <c r="K12" s="42"/>
    </row>
    <row r="13" spans="1:18">
      <c r="A13" s="9">
        <v>84</v>
      </c>
      <c r="B13" t="s">
        <v>183</v>
      </c>
      <c r="C13" t="s">
        <v>72</v>
      </c>
      <c r="D13">
        <v>30</v>
      </c>
      <c r="E13" t="s">
        <v>73</v>
      </c>
      <c r="F13" t="s">
        <v>177</v>
      </c>
      <c r="G13" t="s">
        <v>73</v>
      </c>
      <c r="H13" t="s">
        <v>0</v>
      </c>
      <c r="I13" t="s">
        <v>184</v>
      </c>
      <c r="J13" s="5" t="s">
        <v>14</v>
      </c>
      <c r="K13" s="42"/>
    </row>
    <row r="14" spans="1:18">
      <c r="A14" s="9">
        <v>86</v>
      </c>
      <c r="B14" t="s">
        <v>185</v>
      </c>
      <c r="C14" t="s">
        <v>72</v>
      </c>
      <c r="D14">
        <v>53</v>
      </c>
      <c r="E14" t="s">
        <v>73</v>
      </c>
      <c r="F14" t="s">
        <v>163</v>
      </c>
      <c r="G14" t="s">
        <v>83</v>
      </c>
      <c r="H14" t="s">
        <v>0</v>
      </c>
      <c r="I14" t="s">
        <v>186</v>
      </c>
      <c r="J14" s="5" t="s">
        <v>14</v>
      </c>
      <c r="K14" s="42"/>
    </row>
    <row r="15" spans="1:18">
      <c r="A15" s="9">
        <v>88</v>
      </c>
      <c r="B15" t="s">
        <v>187</v>
      </c>
      <c r="C15" t="s">
        <v>72</v>
      </c>
      <c r="D15">
        <v>49</v>
      </c>
      <c r="E15" t="s">
        <v>83</v>
      </c>
      <c r="F15" t="s">
        <v>163</v>
      </c>
      <c r="G15" t="s">
        <v>83</v>
      </c>
      <c r="H15" t="s">
        <v>0</v>
      </c>
      <c r="I15" t="s">
        <v>188</v>
      </c>
      <c r="J15" s="5" t="s">
        <v>14</v>
      </c>
      <c r="K15" s="42"/>
    </row>
  </sheetData>
  <mergeCells count="1">
    <mergeCell ref="K2: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28BE-673E-A242-A338-D6070779712E}">
  <dimension ref="A1:Q183"/>
  <sheetViews>
    <sheetView topLeftCell="A144" workbookViewId="0">
      <selection activeCell="C4" sqref="C4"/>
    </sheetView>
  </sheetViews>
  <sheetFormatPr defaultColWidth="11.140625" defaultRowHeight="12.95"/>
  <cols>
    <col min="1" max="1" width="4.5703125" bestFit="1" customWidth="1"/>
    <col min="2" max="2" width="26.42578125" bestFit="1" customWidth="1"/>
    <col min="3" max="3" width="29.5703125" customWidth="1"/>
    <col min="4" max="4" width="11" style="3"/>
    <col min="5" max="5" width="27.140625" customWidth="1"/>
    <col min="6" max="6" width="11" style="3"/>
    <col min="7" max="7" width="13.140625" style="3" customWidth="1"/>
    <col min="8" max="8" width="18.85546875" style="3" customWidth="1"/>
    <col min="9" max="9" width="18.85546875" style="3" hidden="1" customWidth="1"/>
    <col min="10" max="10" width="2.5703125" style="3" hidden="1" customWidth="1"/>
    <col min="11" max="11" width="28.42578125" style="3" bestFit="1" customWidth="1"/>
    <col min="12" max="13" width="47.85546875" customWidth="1"/>
  </cols>
  <sheetData>
    <row r="1" spans="1:17" ht="14.45">
      <c r="A1" s="44" t="s">
        <v>189</v>
      </c>
      <c r="B1" s="44" t="s">
        <v>5</v>
      </c>
      <c r="C1" s="44" t="s">
        <v>3</v>
      </c>
      <c r="D1" s="44" t="s">
        <v>146</v>
      </c>
      <c r="E1" s="45" t="s">
        <v>190</v>
      </c>
      <c r="F1" s="44" t="s">
        <v>191</v>
      </c>
      <c r="G1" s="44"/>
      <c r="H1" s="44"/>
      <c r="I1" s="44" t="s">
        <v>192</v>
      </c>
      <c r="J1" s="44"/>
      <c r="K1" s="46" t="s">
        <v>193</v>
      </c>
      <c r="L1" s="44" t="s">
        <v>7</v>
      </c>
      <c r="M1" s="45" t="s">
        <v>194</v>
      </c>
      <c r="N1" s="45" t="s">
        <v>8</v>
      </c>
      <c r="O1" s="45" t="s">
        <v>9</v>
      </c>
    </row>
    <row r="2" spans="1:17" s="1" customFormat="1" ht="42.95" customHeight="1" thickBot="1">
      <c r="A2" s="44"/>
      <c r="B2" s="44"/>
      <c r="C2" s="44"/>
      <c r="D2" s="44"/>
      <c r="E2" s="45"/>
      <c r="F2" s="2" t="s">
        <v>66</v>
      </c>
      <c r="G2" s="2" t="s">
        <v>67</v>
      </c>
      <c r="H2" s="2" t="s">
        <v>148</v>
      </c>
      <c r="I2" s="10" t="s">
        <v>149</v>
      </c>
      <c r="J2" s="10" t="s">
        <v>150</v>
      </c>
      <c r="K2" s="47"/>
      <c r="L2" s="44"/>
      <c r="M2" s="45"/>
      <c r="N2" s="45"/>
      <c r="O2" s="45"/>
      <c r="P2" s="1" t="s">
        <v>10</v>
      </c>
      <c r="Q2" s="1" t="s">
        <v>11</v>
      </c>
    </row>
    <row r="3" spans="1:17">
      <c r="A3">
        <v>1</v>
      </c>
      <c r="B3" t="str">
        <f>VLOOKUP(D3,'Roster Error'!$A$2:$H$15,3,FALSE)</f>
        <v>BAGUIWE Aaron</v>
      </c>
      <c r="C3" t="str">
        <f>VLOOKUP(D3,'Roster Error'!$A$2:$H$15,2,FALSE)</f>
        <v>CAR2101279</v>
      </c>
      <c r="D3" s="3">
        <v>3</v>
      </c>
      <c r="E3" t="s">
        <v>195</v>
      </c>
      <c r="F3" s="3">
        <f>VLOOKUP(D3,'Roster Error'!$A$2:$H$15,4,FALSE)</f>
        <v>50</v>
      </c>
      <c r="G3" s="3" t="str">
        <f>VLOOKUP(D3,'Roster Error'!$A$2:$H$15,5,FALSE)</f>
        <v>Female</v>
      </c>
      <c r="H3" s="3" t="str">
        <f>VLOOKUP(D3,'Roster Error'!$A$2:$H$15,6,FALSE)</f>
        <v>Single</v>
      </c>
      <c r="I3" s="3" t="str">
        <f>VLOOKUP(D3,'Roster Error'!$A$2:$H$15,7,FALSE)</f>
        <v>Male</v>
      </c>
      <c r="J3" s="3" t="str">
        <f>VLOOKUP(D3,'Roster Error'!$A$2:$H$15,8,FALSE)</f>
        <v>No</v>
      </c>
      <c r="K3" s="3">
        <v>17</v>
      </c>
      <c r="L3" s="43" t="s">
        <v>196</v>
      </c>
      <c r="M3" s="18"/>
    </row>
    <row r="4" spans="1:17">
      <c r="A4">
        <v>2</v>
      </c>
      <c r="B4" t="str">
        <f>VLOOKUP(D4,'Roster Error'!$A$2:$H$15,3,FALSE)</f>
        <v>BAGUIWE Aaron</v>
      </c>
      <c r="C4" t="str">
        <f>VLOOKUP(D4,'Roster Error'!$A$2:$H$15,2,FALSE)</f>
        <v>CAR2101279</v>
      </c>
      <c r="D4" s="3">
        <v>3</v>
      </c>
      <c r="E4" t="s">
        <v>195</v>
      </c>
      <c r="F4" s="3">
        <f>VLOOKUP(D4,'Roster Error'!$A$2:$H$15,4,FALSE)</f>
        <v>50</v>
      </c>
      <c r="G4" s="3" t="str">
        <f>VLOOKUP(D4,'Roster Error'!$A$2:$H$15,5,FALSE)</f>
        <v>Female</v>
      </c>
      <c r="H4" s="3" t="str">
        <f>VLOOKUP(D4,'Roster Error'!$A$2:$H$15,6,FALSE)</f>
        <v>Single</v>
      </c>
      <c r="I4" s="3" t="str">
        <f>VLOOKUP(D4,'Roster Error'!$A$2:$H$15,7,FALSE)</f>
        <v>Male</v>
      </c>
      <c r="J4" s="3" t="str">
        <f>VLOOKUP(D4,'Roster Error'!$A$2:$H$15,8,FALSE)</f>
        <v>No</v>
      </c>
      <c r="K4" s="3">
        <v>24</v>
      </c>
      <c r="L4" s="42"/>
      <c r="M4" s="17"/>
    </row>
    <row r="5" spans="1:17">
      <c r="A5">
        <v>3</v>
      </c>
      <c r="B5" t="str">
        <f>VLOOKUP(D5,'Roster Error'!$A$2:$H$15,3,FALSE)</f>
        <v>FROKOM Brillant</v>
      </c>
      <c r="C5" t="str">
        <f>VLOOKUP(D5,'Roster Error'!$A$2:$H$15,2,FALSE)</f>
        <v>CAR2101271</v>
      </c>
      <c r="D5" s="3">
        <v>71</v>
      </c>
      <c r="E5" t="s">
        <v>197</v>
      </c>
      <c r="F5" s="3">
        <f>VLOOKUP(D5,'Roster Error'!$A$2:$H$15,4,FALSE)</f>
        <v>40</v>
      </c>
      <c r="G5" s="3" t="str">
        <f>VLOOKUP(D5,'Roster Error'!$A$2:$H$15,5,FALSE)</f>
        <v>Male</v>
      </c>
      <c r="H5" s="3" t="str">
        <f>VLOOKUP(D5,'Roster Error'!$A$2:$H$15,6,FALSE)</f>
        <v>Cohabitating</v>
      </c>
      <c r="I5" s="3" t="str">
        <f>VLOOKUP(D5,'Roster Error'!$A$2:$H$15,7,FALSE)</f>
        <v>Male</v>
      </c>
      <c r="J5" s="3" t="str">
        <f>VLOOKUP(D5,'Roster Error'!$A$2:$H$15,8,FALSE)</f>
        <v>No</v>
      </c>
      <c r="K5" s="3">
        <v>397</v>
      </c>
      <c r="L5" s="42"/>
      <c r="M5" s="17"/>
    </row>
    <row r="6" spans="1:17">
      <c r="A6">
        <v>4</v>
      </c>
      <c r="B6" t="str">
        <f>VLOOKUP(D6,'Roster Error'!$A$2:$H$15,3,FALSE)</f>
        <v>FROKOM Brillant</v>
      </c>
      <c r="C6" t="str">
        <f>VLOOKUP(D6,'Roster Error'!$A$2:$H$15,2,FALSE)</f>
        <v>CAR2101271</v>
      </c>
      <c r="D6" s="3">
        <v>71</v>
      </c>
      <c r="E6" t="s">
        <v>197</v>
      </c>
      <c r="F6" s="3">
        <f>VLOOKUP(D6,'Roster Error'!$A$2:$H$15,4,FALSE)</f>
        <v>40</v>
      </c>
      <c r="G6" s="3" t="str">
        <f>VLOOKUP(D6,'Roster Error'!$A$2:$H$15,5,FALSE)</f>
        <v>Male</v>
      </c>
      <c r="H6" s="3" t="str">
        <f>VLOOKUP(D6,'Roster Error'!$A$2:$H$15,6,FALSE)</f>
        <v>Cohabitating</v>
      </c>
      <c r="I6" s="3" t="str">
        <f>VLOOKUP(D6,'Roster Error'!$A$2:$H$15,7,FALSE)</f>
        <v>Male</v>
      </c>
      <c r="J6" s="3" t="str">
        <f>VLOOKUP(D6,'Roster Error'!$A$2:$H$15,8,FALSE)</f>
        <v>No</v>
      </c>
      <c r="K6" s="3">
        <v>398</v>
      </c>
      <c r="L6" s="42"/>
      <c r="M6" s="17"/>
    </row>
    <row r="7" spans="1:17">
      <c r="A7">
        <v>5</v>
      </c>
      <c r="B7" t="str">
        <f>VLOOKUP(D7,'Roster Error'!$A$2:$H$15,3,FALSE)</f>
        <v>FROKOM Brillant</v>
      </c>
      <c r="C7" t="str">
        <f>VLOOKUP(D7,'Roster Error'!$A$2:$H$15,2,FALSE)</f>
        <v>CAR2101271</v>
      </c>
      <c r="D7" s="3">
        <v>71</v>
      </c>
      <c r="E7" t="s">
        <v>197</v>
      </c>
      <c r="F7" s="3">
        <f>VLOOKUP(D7,'Roster Error'!$A$2:$H$15,4,FALSE)</f>
        <v>40</v>
      </c>
      <c r="G7" s="3" t="str">
        <f>VLOOKUP(D7,'Roster Error'!$A$2:$H$15,5,FALSE)</f>
        <v>Male</v>
      </c>
      <c r="H7" s="3" t="str">
        <f>VLOOKUP(D7,'Roster Error'!$A$2:$H$15,6,FALSE)</f>
        <v>Cohabitating</v>
      </c>
      <c r="I7" s="3" t="str">
        <f>VLOOKUP(D7,'Roster Error'!$A$2:$H$15,7,FALSE)</f>
        <v>Male</v>
      </c>
      <c r="J7" s="3" t="str">
        <f>VLOOKUP(D7,'Roster Error'!$A$2:$H$15,8,FALSE)</f>
        <v>No</v>
      </c>
      <c r="K7" s="3">
        <v>399</v>
      </c>
      <c r="L7" s="42"/>
      <c r="M7" s="17"/>
    </row>
    <row r="8" spans="1:17">
      <c r="A8">
        <v>6</v>
      </c>
      <c r="B8" t="str">
        <f>VLOOKUP(D8,'Roster Error'!$A$2:$H$15,3,FALSE)</f>
        <v>FROKOM Brillant</v>
      </c>
      <c r="C8" t="str">
        <f>VLOOKUP(D8,'Roster Error'!$A$2:$H$15,2,FALSE)</f>
        <v>CAR2101271</v>
      </c>
      <c r="D8" s="3">
        <v>71</v>
      </c>
      <c r="E8" t="s">
        <v>197</v>
      </c>
      <c r="F8" s="3">
        <f>VLOOKUP(D8,'Roster Error'!$A$2:$H$15,4,FALSE)</f>
        <v>40</v>
      </c>
      <c r="G8" s="3" t="str">
        <f>VLOOKUP(D8,'Roster Error'!$A$2:$H$15,5,FALSE)</f>
        <v>Male</v>
      </c>
      <c r="H8" s="3" t="str">
        <f>VLOOKUP(D8,'Roster Error'!$A$2:$H$15,6,FALSE)</f>
        <v>Cohabitating</v>
      </c>
      <c r="I8" s="3" t="str">
        <f>VLOOKUP(D8,'Roster Error'!$A$2:$H$15,7,FALSE)</f>
        <v>Male</v>
      </c>
      <c r="J8" s="3" t="str">
        <f>VLOOKUP(D8,'Roster Error'!$A$2:$H$15,8,FALSE)</f>
        <v>No</v>
      </c>
      <c r="K8" s="3">
        <v>400</v>
      </c>
      <c r="L8" s="42"/>
      <c r="M8" s="17"/>
    </row>
    <row r="9" spans="1:17">
      <c r="A9">
        <v>7</v>
      </c>
      <c r="B9" t="str">
        <f>VLOOKUP(D9,'Roster Error'!$A$2:$H$15,3,FALSE)</f>
        <v>FROKOM Brillant</v>
      </c>
      <c r="C9" t="str">
        <f>VLOOKUP(D9,'Roster Error'!$A$2:$H$15,2,FALSE)</f>
        <v>CAR2101271</v>
      </c>
      <c r="D9" s="3">
        <v>71</v>
      </c>
      <c r="E9" t="s">
        <v>197</v>
      </c>
      <c r="F9" s="3">
        <f>VLOOKUP(D9,'Roster Error'!$A$2:$H$15,4,FALSE)</f>
        <v>40</v>
      </c>
      <c r="G9" s="3" t="str">
        <f>VLOOKUP(D9,'Roster Error'!$A$2:$H$15,5,FALSE)</f>
        <v>Male</v>
      </c>
      <c r="H9" s="3" t="str">
        <f>VLOOKUP(D9,'Roster Error'!$A$2:$H$15,6,FALSE)</f>
        <v>Cohabitating</v>
      </c>
      <c r="I9" s="3" t="str">
        <f>VLOOKUP(D9,'Roster Error'!$A$2:$H$15,7,FALSE)</f>
        <v>Male</v>
      </c>
      <c r="J9" s="3" t="str">
        <f>VLOOKUP(D9,'Roster Error'!$A$2:$H$15,8,FALSE)</f>
        <v>No</v>
      </c>
      <c r="K9" s="3">
        <v>401</v>
      </c>
      <c r="L9" s="42"/>
      <c r="M9" s="17"/>
    </row>
    <row r="10" spans="1:17">
      <c r="A10">
        <v>8</v>
      </c>
      <c r="B10" t="str">
        <f>VLOOKUP(D10,'Roster Error'!$A$2:$H$15,3,FALSE)</f>
        <v>FROKOM Brillant</v>
      </c>
      <c r="C10" t="str">
        <f>VLOOKUP(D10,'Roster Error'!$A$2:$H$15,2,FALSE)</f>
        <v>CAR2101271</v>
      </c>
      <c r="D10" s="3">
        <v>71</v>
      </c>
      <c r="E10" t="s">
        <v>198</v>
      </c>
      <c r="F10" s="3">
        <f>VLOOKUP(D10,'Roster Error'!$A$2:$H$15,4,FALSE)</f>
        <v>40</v>
      </c>
      <c r="G10" s="3" t="str">
        <f>VLOOKUP(D10,'Roster Error'!$A$2:$H$15,5,FALSE)</f>
        <v>Male</v>
      </c>
      <c r="H10" s="3" t="str">
        <f>VLOOKUP(D10,'Roster Error'!$A$2:$H$15,6,FALSE)</f>
        <v>Cohabitating</v>
      </c>
      <c r="I10" s="3" t="str">
        <f>VLOOKUP(D10,'Roster Error'!$A$2:$H$15,7,FALSE)</f>
        <v>Male</v>
      </c>
      <c r="J10" s="3" t="str">
        <f>VLOOKUP(D10,'Roster Error'!$A$2:$H$15,8,FALSE)</f>
        <v>No</v>
      </c>
      <c r="K10" s="3">
        <v>402</v>
      </c>
      <c r="L10" s="42"/>
      <c r="M10" s="17"/>
    </row>
    <row r="11" spans="1:17">
      <c r="A11">
        <v>9</v>
      </c>
      <c r="B11" t="str">
        <f>VLOOKUP(D11,'Roster Error'!$A$2:$H$15,3,FALSE)</f>
        <v>FROKOM Brillant</v>
      </c>
      <c r="C11" t="str">
        <f>VLOOKUP(D11,'Roster Error'!$A$2:$H$15,2,FALSE)</f>
        <v>CAR2101271</v>
      </c>
      <c r="D11" s="3">
        <v>71</v>
      </c>
      <c r="E11" t="s">
        <v>195</v>
      </c>
      <c r="F11" s="3">
        <f>VLOOKUP(D11,'Roster Error'!$A$2:$H$15,4,FALSE)</f>
        <v>40</v>
      </c>
      <c r="G11" s="3" t="str">
        <f>VLOOKUP(D11,'Roster Error'!$A$2:$H$15,5,FALSE)</f>
        <v>Male</v>
      </c>
      <c r="H11" s="3" t="str">
        <f>VLOOKUP(D11,'Roster Error'!$A$2:$H$15,6,FALSE)</f>
        <v>Cohabitating</v>
      </c>
      <c r="I11" s="3" t="str">
        <f>VLOOKUP(D11,'Roster Error'!$A$2:$H$15,7,FALSE)</f>
        <v>Male</v>
      </c>
      <c r="J11" s="3" t="str">
        <f>VLOOKUP(D11,'Roster Error'!$A$2:$H$15,8,FALSE)</f>
        <v>No</v>
      </c>
      <c r="K11" s="3">
        <v>403</v>
      </c>
      <c r="L11" s="42"/>
      <c r="M11" s="17"/>
    </row>
    <row r="12" spans="1:17">
      <c r="A12">
        <v>10</v>
      </c>
      <c r="B12" t="str">
        <f>VLOOKUP(D12,'Roster Error'!$A$2:$H$15,3,FALSE)</f>
        <v>FROKOM Brillant</v>
      </c>
      <c r="C12" t="str">
        <f>VLOOKUP(D12,'Roster Error'!$A$2:$H$15,2,FALSE)</f>
        <v>CAR2101271</v>
      </c>
      <c r="D12" s="3">
        <v>71</v>
      </c>
      <c r="E12" t="s">
        <v>199</v>
      </c>
      <c r="F12" s="3">
        <f>VLOOKUP(D12,'Roster Error'!$A$2:$H$15,4,FALSE)</f>
        <v>40</v>
      </c>
      <c r="G12" s="3" t="str">
        <f>VLOOKUP(D12,'Roster Error'!$A$2:$H$15,5,FALSE)</f>
        <v>Male</v>
      </c>
      <c r="H12" s="3" t="str">
        <f>VLOOKUP(D12,'Roster Error'!$A$2:$H$15,6,FALSE)</f>
        <v>Cohabitating</v>
      </c>
      <c r="I12" s="3" t="str">
        <f>VLOOKUP(D12,'Roster Error'!$A$2:$H$15,7,FALSE)</f>
        <v>Male</v>
      </c>
      <c r="J12" s="3" t="str">
        <f>VLOOKUP(D12,'Roster Error'!$A$2:$H$15,8,FALSE)</f>
        <v>No</v>
      </c>
      <c r="K12" s="3">
        <v>404</v>
      </c>
      <c r="L12" s="42"/>
      <c r="M12" s="17"/>
    </row>
    <row r="13" spans="1:17">
      <c r="A13">
        <v>11</v>
      </c>
      <c r="B13" t="str">
        <f>VLOOKUP(D13,'Roster Error'!$A$2:$H$15,3,FALSE)</f>
        <v>FROKOM Brillant</v>
      </c>
      <c r="C13" t="str">
        <f>VLOOKUP(D13,'Roster Error'!$A$2:$H$15,2,FALSE)</f>
        <v>CAR2101270</v>
      </c>
      <c r="D13" s="3">
        <v>72</v>
      </c>
      <c r="E13" t="s">
        <v>200</v>
      </c>
      <c r="F13" s="3">
        <f>VLOOKUP(D13,'Roster Error'!$A$2:$H$15,4,FALSE)</f>
        <v>19</v>
      </c>
      <c r="G13" s="3" t="str">
        <f>VLOOKUP(D13,'Roster Error'!$A$2:$H$15,5,FALSE)</f>
        <v>Female</v>
      </c>
      <c r="H13" s="3" t="str">
        <f>VLOOKUP(D13,'Roster Error'!$A$2:$H$15,6,FALSE)</f>
        <v>Divorced/Separated</v>
      </c>
      <c r="I13" s="3" t="str">
        <f>VLOOKUP(D13,'Roster Error'!$A$2:$H$15,7,FALSE)</f>
        <v>Male</v>
      </c>
      <c r="J13" s="3" t="str">
        <f>VLOOKUP(D13,'Roster Error'!$A$2:$H$15,8,FALSE)</f>
        <v>No</v>
      </c>
      <c r="K13" s="3">
        <v>405</v>
      </c>
      <c r="L13" s="42"/>
      <c r="M13" s="17"/>
    </row>
    <row r="14" spans="1:17">
      <c r="A14">
        <v>12</v>
      </c>
      <c r="B14" t="str">
        <f>VLOOKUP(D14,'Roster Error'!$A$2:$H$15,3,FALSE)</f>
        <v>FROKOM Brillant</v>
      </c>
      <c r="C14" t="str">
        <f>VLOOKUP(D14,'Roster Error'!$A$2:$H$15,2,FALSE)</f>
        <v>CAR2101270</v>
      </c>
      <c r="D14" s="3">
        <v>72</v>
      </c>
      <c r="E14" t="s">
        <v>195</v>
      </c>
      <c r="F14" s="3">
        <f>VLOOKUP(D14,'Roster Error'!$A$2:$H$15,4,FALSE)</f>
        <v>19</v>
      </c>
      <c r="G14" s="3" t="str">
        <f>VLOOKUP(D14,'Roster Error'!$A$2:$H$15,5,FALSE)</f>
        <v>Female</v>
      </c>
      <c r="H14" s="3" t="str">
        <f>VLOOKUP(D14,'Roster Error'!$A$2:$H$15,6,FALSE)</f>
        <v>Divorced/Separated</v>
      </c>
      <c r="I14" s="3" t="str">
        <f>VLOOKUP(D14,'Roster Error'!$A$2:$H$15,7,FALSE)</f>
        <v>Male</v>
      </c>
      <c r="J14" s="3" t="str">
        <f>VLOOKUP(D14,'Roster Error'!$A$2:$H$15,8,FALSE)</f>
        <v>No</v>
      </c>
      <c r="K14" s="3">
        <v>406</v>
      </c>
      <c r="L14" s="42"/>
      <c r="M14" s="17"/>
    </row>
    <row r="15" spans="1:17">
      <c r="A15">
        <v>13</v>
      </c>
      <c r="B15" t="str">
        <f>VLOOKUP(D15,'Roster Error'!$A$2:$H$15,3,FALSE)</f>
        <v>FROKOM Brillant</v>
      </c>
      <c r="C15" t="str">
        <f>VLOOKUP(D15,'Roster Error'!$A$2:$H$15,2,FALSE)</f>
        <v>CAR2101270</v>
      </c>
      <c r="D15" s="3">
        <v>72</v>
      </c>
      <c r="E15" t="s">
        <v>198</v>
      </c>
      <c r="F15" s="3">
        <f>VLOOKUP(D15,'Roster Error'!$A$2:$H$15,4,FALSE)</f>
        <v>19</v>
      </c>
      <c r="G15" s="3" t="str">
        <f>VLOOKUP(D15,'Roster Error'!$A$2:$H$15,5,FALSE)</f>
        <v>Female</v>
      </c>
      <c r="H15" s="3" t="str">
        <f>VLOOKUP(D15,'Roster Error'!$A$2:$H$15,6,FALSE)</f>
        <v>Divorced/Separated</v>
      </c>
      <c r="I15" s="3" t="str">
        <f>VLOOKUP(D15,'Roster Error'!$A$2:$H$15,7,FALSE)</f>
        <v>Male</v>
      </c>
      <c r="J15" s="3" t="str">
        <f>VLOOKUP(D15,'Roster Error'!$A$2:$H$15,8,FALSE)</f>
        <v>No</v>
      </c>
      <c r="K15" s="3">
        <v>407</v>
      </c>
      <c r="L15" s="42"/>
      <c r="M15" s="17"/>
    </row>
    <row r="16" spans="1:17">
      <c r="A16">
        <v>14</v>
      </c>
      <c r="B16" t="str">
        <f>VLOOKUP(D16,'Roster Error'!$A$2:$H$15,3,FALSE)</f>
        <v>FROKOM Brillant</v>
      </c>
      <c r="C16" t="str">
        <f>VLOOKUP(D16,'Roster Error'!$A$2:$H$15,2,FALSE)</f>
        <v>CAR2101270</v>
      </c>
      <c r="D16" s="3">
        <v>72</v>
      </c>
      <c r="E16" t="s">
        <v>200</v>
      </c>
      <c r="F16" s="3">
        <f>VLOOKUP(D16,'Roster Error'!$A$2:$H$15,4,FALSE)</f>
        <v>19</v>
      </c>
      <c r="G16" s="3" t="str">
        <f>VLOOKUP(D16,'Roster Error'!$A$2:$H$15,5,FALSE)</f>
        <v>Female</v>
      </c>
      <c r="H16" s="3" t="str">
        <f>VLOOKUP(D16,'Roster Error'!$A$2:$H$15,6,FALSE)</f>
        <v>Divorced/Separated</v>
      </c>
      <c r="I16" s="3" t="str">
        <f>VLOOKUP(D16,'Roster Error'!$A$2:$H$15,7,FALSE)</f>
        <v>Male</v>
      </c>
      <c r="J16" s="3" t="str">
        <f>VLOOKUP(D16,'Roster Error'!$A$2:$H$15,8,FALSE)</f>
        <v>No</v>
      </c>
      <c r="K16" s="3">
        <v>408</v>
      </c>
      <c r="L16" s="42"/>
      <c r="M16" s="17"/>
    </row>
    <row r="17" spans="1:13">
      <c r="A17">
        <v>15</v>
      </c>
      <c r="B17" t="str">
        <f>VLOOKUP(D17,'Roster Error'!$A$2:$H$15,3,FALSE)</f>
        <v>FROKOM Brillant</v>
      </c>
      <c r="C17" t="str">
        <f>VLOOKUP(D17,'Roster Error'!$A$2:$H$15,2,FALSE)</f>
        <v>CAR2101270</v>
      </c>
      <c r="D17" s="3">
        <v>72</v>
      </c>
      <c r="E17" t="s">
        <v>199</v>
      </c>
      <c r="F17" s="3">
        <f>VLOOKUP(D17,'Roster Error'!$A$2:$H$15,4,FALSE)</f>
        <v>19</v>
      </c>
      <c r="G17" s="3" t="str">
        <f>VLOOKUP(D17,'Roster Error'!$A$2:$H$15,5,FALSE)</f>
        <v>Female</v>
      </c>
      <c r="H17" s="3" t="str">
        <f>VLOOKUP(D17,'Roster Error'!$A$2:$H$15,6,FALSE)</f>
        <v>Divorced/Separated</v>
      </c>
      <c r="I17" s="3" t="str">
        <f>VLOOKUP(D17,'Roster Error'!$A$2:$H$15,7,FALSE)</f>
        <v>Male</v>
      </c>
      <c r="J17" s="3" t="str">
        <f>VLOOKUP(D17,'Roster Error'!$A$2:$H$15,8,FALSE)</f>
        <v>No</v>
      </c>
      <c r="K17" s="3">
        <v>409</v>
      </c>
      <c r="L17" s="42"/>
      <c r="M17" s="17"/>
    </row>
    <row r="18" spans="1:13">
      <c r="A18">
        <v>16</v>
      </c>
      <c r="B18" t="str">
        <f>VLOOKUP(D18,'Roster Error'!$A$2:$H$15,3,FALSE)</f>
        <v>FROKOM Brillant</v>
      </c>
      <c r="C18" t="str">
        <f>VLOOKUP(D18,'Roster Error'!$A$2:$H$15,2,FALSE)</f>
        <v>CAR2101270</v>
      </c>
      <c r="D18" s="3">
        <v>72</v>
      </c>
      <c r="E18" t="s">
        <v>200</v>
      </c>
      <c r="F18" s="3">
        <f>VLOOKUP(D18,'Roster Error'!$A$2:$H$15,4,FALSE)</f>
        <v>19</v>
      </c>
      <c r="G18" s="3" t="str">
        <f>VLOOKUP(D18,'Roster Error'!$A$2:$H$15,5,FALSE)</f>
        <v>Female</v>
      </c>
      <c r="H18" s="3" t="str">
        <f>VLOOKUP(D18,'Roster Error'!$A$2:$H$15,6,FALSE)</f>
        <v>Divorced/Separated</v>
      </c>
      <c r="I18" s="3" t="str">
        <f>VLOOKUP(D18,'Roster Error'!$A$2:$H$15,7,FALSE)</f>
        <v>Male</v>
      </c>
      <c r="J18" s="3" t="str">
        <f>VLOOKUP(D18,'Roster Error'!$A$2:$H$15,8,FALSE)</f>
        <v>No</v>
      </c>
      <c r="K18" s="3">
        <v>410</v>
      </c>
      <c r="L18" s="42"/>
      <c r="M18" s="17"/>
    </row>
    <row r="19" spans="1:13">
      <c r="A19">
        <v>17</v>
      </c>
      <c r="B19" t="str">
        <f>VLOOKUP(D19,'Roster Error'!$A$2:$H$15,3,FALSE)</f>
        <v>FROKOM Brillant</v>
      </c>
      <c r="C19" t="str">
        <f>VLOOKUP(D19,'Roster Error'!$A$2:$H$15,2,FALSE)</f>
        <v>CAR2101270</v>
      </c>
      <c r="D19" s="3">
        <v>72</v>
      </c>
      <c r="E19" t="s">
        <v>199</v>
      </c>
      <c r="F19" s="3">
        <f>VLOOKUP(D19,'Roster Error'!$A$2:$H$15,4,FALSE)</f>
        <v>19</v>
      </c>
      <c r="G19" s="3" t="str">
        <f>VLOOKUP(D19,'Roster Error'!$A$2:$H$15,5,FALSE)</f>
        <v>Female</v>
      </c>
      <c r="H19" s="3" t="str">
        <f>VLOOKUP(D19,'Roster Error'!$A$2:$H$15,6,FALSE)</f>
        <v>Divorced/Separated</v>
      </c>
      <c r="I19" s="3" t="str">
        <f>VLOOKUP(D19,'Roster Error'!$A$2:$H$15,7,FALSE)</f>
        <v>Male</v>
      </c>
      <c r="J19" s="3" t="str">
        <f>VLOOKUP(D19,'Roster Error'!$A$2:$H$15,8,FALSE)</f>
        <v>No</v>
      </c>
      <c r="K19" s="3">
        <v>411</v>
      </c>
      <c r="L19" s="42"/>
      <c r="M19" s="17"/>
    </row>
    <row r="20" spans="1:13">
      <c r="A20">
        <v>18</v>
      </c>
      <c r="B20" t="str">
        <f>VLOOKUP(D20,'Roster Error'!$A$2:$H$15,3,FALSE)</f>
        <v>FROKOM Brillant</v>
      </c>
      <c r="C20" t="str">
        <f>VLOOKUP(D20,'Roster Error'!$A$2:$H$15,2,FALSE)</f>
        <v>CAR2101270</v>
      </c>
      <c r="D20" s="3">
        <v>72</v>
      </c>
      <c r="E20" t="s">
        <v>199</v>
      </c>
      <c r="F20" s="3">
        <f>VLOOKUP(D20,'Roster Error'!$A$2:$H$15,4,FALSE)</f>
        <v>19</v>
      </c>
      <c r="G20" s="3" t="str">
        <f>VLOOKUP(D20,'Roster Error'!$A$2:$H$15,5,FALSE)</f>
        <v>Female</v>
      </c>
      <c r="H20" s="3" t="str">
        <f>VLOOKUP(D20,'Roster Error'!$A$2:$H$15,6,FALSE)</f>
        <v>Divorced/Separated</v>
      </c>
      <c r="I20" s="3" t="str">
        <f>VLOOKUP(D20,'Roster Error'!$A$2:$H$15,7,FALSE)</f>
        <v>Male</v>
      </c>
      <c r="J20" s="3" t="str">
        <f>VLOOKUP(D20,'Roster Error'!$A$2:$H$15,8,FALSE)</f>
        <v>No</v>
      </c>
      <c r="K20" s="3">
        <v>412</v>
      </c>
      <c r="L20" s="42"/>
      <c r="M20" s="17"/>
    </row>
    <row r="21" spans="1:13">
      <c r="A21">
        <v>19</v>
      </c>
      <c r="B21" t="str">
        <f>VLOOKUP(D21,'Roster Error'!$A$2:$H$15,3,FALSE)</f>
        <v>FROKOM Brillant</v>
      </c>
      <c r="C21" t="str">
        <f>VLOOKUP(D21,'Roster Error'!$A$2:$H$15,2,FALSE)</f>
        <v>CAR2101270</v>
      </c>
      <c r="D21" s="3">
        <v>72</v>
      </c>
      <c r="E21" t="s">
        <v>200</v>
      </c>
      <c r="F21" s="3">
        <f>VLOOKUP(D21,'Roster Error'!$A$2:$H$15,4,FALSE)</f>
        <v>19</v>
      </c>
      <c r="G21" s="3" t="str">
        <f>VLOOKUP(D21,'Roster Error'!$A$2:$H$15,5,FALSE)</f>
        <v>Female</v>
      </c>
      <c r="H21" s="3" t="str">
        <f>VLOOKUP(D21,'Roster Error'!$A$2:$H$15,6,FALSE)</f>
        <v>Divorced/Separated</v>
      </c>
      <c r="I21" s="3" t="str">
        <f>VLOOKUP(D21,'Roster Error'!$A$2:$H$15,7,FALSE)</f>
        <v>Male</v>
      </c>
      <c r="J21" s="3" t="str">
        <f>VLOOKUP(D21,'Roster Error'!$A$2:$H$15,8,FALSE)</f>
        <v>No</v>
      </c>
      <c r="K21" s="3">
        <v>413</v>
      </c>
      <c r="L21" s="42"/>
      <c r="M21" s="17"/>
    </row>
    <row r="22" spans="1:13">
      <c r="A22">
        <v>20</v>
      </c>
      <c r="B22" t="str">
        <f>VLOOKUP(D22,'Roster Error'!$A$2:$H$15,3,FALSE)</f>
        <v>FROKOM Brillant</v>
      </c>
      <c r="C22" t="str">
        <f>VLOOKUP(D22,'Roster Error'!$A$2:$H$15,2,FALSE)</f>
        <v>CAR210372</v>
      </c>
      <c r="D22" s="3">
        <v>73</v>
      </c>
      <c r="E22" t="s">
        <v>197</v>
      </c>
      <c r="F22" s="3">
        <f>VLOOKUP(D22,'Roster Error'!$A$2:$H$15,4,FALSE)</f>
        <v>40</v>
      </c>
      <c r="G22" s="3" t="str">
        <f>VLOOKUP(D22,'Roster Error'!$A$2:$H$15,5,FALSE)</f>
        <v>Male</v>
      </c>
      <c r="H22" s="3" t="str">
        <f>VLOOKUP(D22,'Roster Error'!$A$2:$H$15,6,FALSE)</f>
        <v>Cohabitating</v>
      </c>
      <c r="I22" s="3" t="str">
        <f>VLOOKUP(D22,'Roster Error'!$A$2:$H$15,7,FALSE)</f>
        <v>Male</v>
      </c>
      <c r="J22" s="3" t="str">
        <f>VLOOKUP(D22,'Roster Error'!$A$2:$H$15,8,FALSE)</f>
        <v>No</v>
      </c>
      <c r="K22" s="3">
        <v>414</v>
      </c>
      <c r="L22" s="42"/>
      <c r="M22" s="17"/>
    </row>
    <row r="23" spans="1:13">
      <c r="A23">
        <v>21</v>
      </c>
      <c r="B23" t="str">
        <f>VLOOKUP(D23,'Roster Error'!$A$2:$H$15,3,FALSE)</f>
        <v>FROKOM Brillant</v>
      </c>
      <c r="C23" t="str">
        <f>VLOOKUP(D23,'Roster Error'!$A$2:$H$15,2,FALSE)</f>
        <v>CAR210372</v>
      </c>
      <c r="D23" s="3">
        <v>73</v>
      </c>
      <c r="E23" t="s">
        <v>200</v>
      </c>
      <c r="F23" s="3">
        <f>VLOOKUP(D23,'Roster Error'!$A$2:$H$15,4,FALSE)</f>
        <v>40</v>
      </c>
      <c r="G23" s="3" t="str">
        <f>VLOOKUP(D23,'Roster Error'!$A$2:$H$15,5,FALSE)</f>
        <v>Male</v>
      </c>
      <c r="H23" s="3" t="str">
        <f>VLOOKUP(D23,'Roster Error'!$A$2:$H$15,6,FALSE)</f>
        <v>Cohabitating</v>
      </c>
      <c r="I23" s="3" t="str">
        <f>VLOOKUP(D23,'Roster Error'!$A$2:$H$15,7,FALSE)</f>
        <v>Male</v>
      </c>
      <c r="J23" s="3" t="str">
        <f>VLOOKUP(D23,'Roster Error'!$A$2:$H$15,8,FALSE)</f>
        <v>No</v>
      </c>
      <c r="K23" s="3">
        <v>415</v>
      </c>
      <c r="L23" s="42"/>
      <c r="M23" s="17"/>
    </row>
    <row r="24" spans="1:13">
      <c r="A24">
        <v>22</v>
      </c>
      <c r="B24" t="str">
        <f>VLOOKUP(D24,'Roster Error'!$A$2:$H$15,3,FALSE)</f>
        <v>FROKOM Brillant</v>
      </c>
      <c r="C24" t="str">
        <f>VLOOKUP(D24,'Roster Error'!$A$2:$H$15,2,FALSE)</f>
        <v>CAR210372</v>
      </c>
      <c r="D24" s="3">
        <v>73</v>
      </c>
      <c r="E24" t="s">
        <v>200</v>
      </c>
      <c r="F24" s="3">
        <f>VLOOKUP(D24,'Roster Error'!$A$2:$H$15,4,FALSE)</f>
        <v>40</v>
      </c>
      <c r="G24" s="3" t="str">
        <f>VLOOKUP(D24,'Roster Error'!$A$2:$H$15,5,FALSE)</f>
        <v>Male</v>
      </c>
      <c r="H24" s="3" t="str">
        <f>VLOOKUP(D24,'Roster Error'!$A$2:$H$15,6,FALSE)</f>
        <v>Cohabitating</v>
      </c>
      <c r="I24" s="3" t="str">
        <f>VLOOKUP(D24,'Roster Error'!$A$2:$H$15,7,FALSE)</f>
        <v>Male</v>
      </c>
      <c r="J24" s="3" t="str">
        <f>VLOOKUP(D24,'Roster Error'!$A$2:$H$15,8,FALSE)</f>
        <v>No</v>
      </c>
      <c r="K24" s="3">
        <v>416</v>
      </c>
      <c r="L24" s="42"/>
      <c r="M24" s="17"/>
    </row>
    <row r="25" spans="1:13">
      <c r="A25">
        <v>23</v>
      </c>
      <c r="B25" t="str">
        <f>VLOOKUP(D25,'Roster Error'!$A$2:$H$15,3,FALSE)</f>
        <v>FROKOM Brillant</v>
      </c>
      <c r="C25" t="str">
        <f>VLOOKUP(D25,'Roster Error'!$A$2:$H$15,2,FALSE)</f>
        <v>CAR210372</v>
      </c>
      <c r="D25" s="3">
        <v>73</v>
      </c>
      <c r="E25" t="s">
        <v>198</v>
      </c>
      <c r="F25" s="3">
        <f>VLOOKUP(D25,'Roster Error'!$A$2:$H$15,4,FALSE)</f>
        <v>40</v>
      </c>
      <c r="G25" s="3" t="str">
        <f>VLOOKUP(D25,'Roster Error'!$A$2:$H$15,5,FALSE)</f>
        <v>Male</v>
      </c>
      <c r="H25" s="3" t="str">
        <f>VLOOKUP(D25,'Roster Error'!$A$2:$H$15,6,FALSE)</f>
        <v>Cohabitating</v>
      </c>
      <c r="I25" s="3" t="str">
        <f>VLOOKUP(D25,'Roster Error'!$A$2:$H$15,7,FALSE)</f>
        <v>Male</v>
      </c>
      <c r="J25" s="3" t="str">
        <f>VLOOKUP(D25,'Roster Error'!$A$2:$H$15,8,FALSE)</f>
        <v>No</v>
      </c>
      <c r="K25" s="3">
        <v>417</v>
      </c>
      <c r="L25" s="42"/>
      <c r="M25" s="17"/>
    </row>
    <row r="26" spans="1:13">
      <c r="A26">
        <v>24</v>
      </c>
      <c r="B26" t="str">
        <f>VLOOKUP(D26,'Roster Error'!$A$2:$H$15,3,FALSE)</f>
        <v>FROKOM Brillant</v>
      </c>
      <c r="C26" t="str">
        <f>VLOOKUP(D26,'Roster Error'!$A$2:$H$15,2,FALSE)</f>
        <v>CAR210372</v>
      </c>
      <c r="D26" s="3">
        <v>73</v>
      </c>
      <c r="E26" t="s">
        <v>200</v>
      </c>
      <c r="F26" s="3">
        <f>VLOOKUP(D26,'Roster Error'!$A$2:$H$15,4,FALSE)</f>
        <v>40</v>
      </c>
      <c r="G26" s="3" t="str">
        <f>VLOOKUP(D26,'Roster Error'!$A$2:$H$15,5,FALSE)</f>
        <v>Male</v>
      </c>
      <c r="H26" s="3" t="str">
        <f>VLOOKUP(D26,'Roster Error'!$A$2:$H$15,6,FALSE)</f>
        <v>Cohabitating</v>
      </c>
      <c r="I26" s="3" t="str">
        <f>VLOOKUP(D26,'Roster Error'!$A$2:$H$15,7,FALSE)</f>
        <v>Male</v>
      </c>
      <c r="J26" s="3" t="str">
        <f>VLOOKUP(D26,'Roster Error'!$A$2:$H$15,8,FALSE)</f>
        <v>No</v>
      </c>
      <c r="K26" s="3">
        <v>418</v>
      </c>
      <c r="L26" s="42"/>
      <c r="M26" s="17"/>
    </row>
    <row r="27" spans="1:13">
      <c r="A27">
        <v>25</v>
      </c>
      <c r="B27" t="str">
        <f>VLOOKUP(D27,'Roster Error'!$A$2:$H$15,3,FALSE)</f>
        <v>FROKOM Brillant</v>
      </c>
      <c r="C27" t="str">
        <f>VLOOKUP(D27,'Roster Error'!$A$2:$H$15,2,FALSE)</f>
        <v>CAR210372</v>
      </c>
      <c r="D27" s="3">
        <v>73</v>
      </c>
      <c r="E27" t="s">
        <v>199</v>
      </c>
      <c r="F27" s="3">
        <f>VLOOKUP(D27,'Roster Error'!$A$2:$H$15,4,FALSE)</f>
        <v>40</v>
      </c>
      <c r="G27" s="3" t="str">
        <f>VLOOKUP(D27,'Roster Error'!$A$2:$H$15,5,FALSE)</f>
        <v>Male</v>
      </c>
      <c r="H27" s="3" t="str">
        <f>VLOOKUP(D27,'Roster Error'!$A$2:$H$15,6,FALSE)</f>
        <v>Cohabitating</v>
      </c>
      <c r="I27" s="3" t="str">
        <f>VLOOKUP(D27,'Roster Error'!$A$2:$H$15,7,FALSE)</f>
        <v>Male</v>
      </c>
      <c r="J27" s="3" t="str">
        <f>VLOOKUP(D27,'Roster Error'!$A$2:$H$15,8,FALSE)</f>
        <v>No</v>
      </c>
      <c r="K27" s="3">
        <v>419</v>
      </c>
      <c r="L27" s="42"/>
      <c r="M27" s="17"/>
    </row>
    <row r="28" spans="1:13">
      <c r="A28">
        <v>26</v>
      </c>
      <c r="B28" t="str">
        <f>VLOOKUP(D28,'Roster Error'!$A$2:$H$15,3,FALSE)</f>
        <v>FROKOM Brillant</v>
      </c>
      <c r="C28" t="str">
        <f>VLOOKUP(D28,'Roster Error'!$A$2:$H$15,2,FALSE)</f>
        <v>CAR210372</v>
      </c>
      <c r="D28" s="3">
        <v>73</v>
      </c>
      <c r="E28" t="s">
        <v>200</v>
      </c>
      <c r="F28" s="3">
        <f>VLOOKUP(D28,'Roster Error'!$A$2:$H$15,4,FALSE)</f>
        <v>40</v>
      </c>
      <c r="G28" s="3" t="str">
        <f>VLOOKUP(D28,'Roster Error'!$A$2:$H$15,5,FALSE)</f>
        <v>Male</v>
      </c>
      <c r="H28" s="3" t="str">
        <f>VLOOKUP(D28,'Roster Error'!$A$2:$H$15,6,FALSE)</f>
        <v>Cohabitating</v>
      </c>
      <c r="I28" s="3" t="str">
        <f>VLOOKUP(D28,'Roster Error'!$A$2:$H$15,7,FALSE)</f>
        <v>Male</v>
      </c>
      <c r="J28" s="3" t="str">
        <f>VLOOKUP(D28,'Roster Error'!$A$2:$H$15,8,FALSE)</f>
        <v>No</v>
      </c>
      <c r="K28" s="3">
        <v>420</v>
      </c>
      <c r="L28" s="42"/>
      <c r="M28" s="17"/>
    </row>
    <row r="29" spans="1:13">
      <c r="A29">
        <v>27</v>
      </c>
      <c r="B29" t="str">
        <f>VLOOKUP(D29,'Roster Error'!$A$2:$H$15,3,FALSE)</f>
        <v>FROKOM Brillant</v>
      </c>
      <c r="C29" t="str">
        <f>VLOOKUP(D29,'Roster Error'!$A$2:$H$15,2,FALSE)</f>
        <v>CAR210372</v>
      </c>
      <c r="D29" s="3">
        <v>73</v>
      </c>
      <c r="E29" t="s">
        <v>200</v>
      </c>
      <c r="F29" s="3">
        <f>VLOOKUP(D29,'Roster Error'!$A$2:$H$15,4,FALSE)</f>
        <v>40</v>
      </c>
      <c r="G29" s="3" t="str">
        <f>VLOOKUP(D29,'Roster Error'!$A$2:$H$15,5,FALSE)</f>
        <v>Male</v>
      </c>
      <c r="H29" s="3" t="str">
        <f>VLOOKUP(D29,'Roster Error'!$A$2:$H$15,6,FALSE)</f>
        <v>Cohabitating</v>
      </c>
      <c r="I29" s="3" t="str">
        <f>VLOOKUP(D29,'Roster Error'!$A$2:$H$15,7,FALSE)</f>
        <v>Male</v>
      </c>
      <c r="J29" s="3" t="str">
        <f>VLOOKUP(D29,'Roster Error'!$A$2:$H$15,8,FALSE)</f>
        <v>No</v>
      </c>
      <c r="K29" s="3">
        <v>421</v>
      </c>
      <c r="L29" s="42"/>
      <c r="M29" s="17"/>
    </row>
    <row r="30" spans="1:13">
      <c r="A30">
        <v>28</v>
      </c>
      <c r="B30" t="str">
        <f>VLOOKUP(D30,'Roster Error'!$A$2:$H$15,3,FALSE)</f>
        <v>FROKOM Brillant</v>
      </c>
      <c r="C30" t="str">
        <f>VLOOKUP(D30,'Roster Error'!$A$2:$H$15,2,FALSE)</f>
        <v>CAR2101272</v>
      </c>
      <c r="D30" s="3">
        <v>74</v>
      </c>
      <c r="E30" t="s">
        <v>197</v>
      </c>
      <c r="F30" s="3">
        <f>VLOOKUP(D30,'Roster Error'!$A$2:$H$15,4,FALSE)</f>
        <v>46</v>
      </c>
      <c r="G30" s="3" t="str">
        <f>VLOOKUP(D30,'Roster Error'!$A$2:$H$15,5,FALSE)</f>
        <v>Male</v>
      </c>
      <c r="H30" s="3" t="str">
        <f>VLOOKUP(D30,'Roster Error'!$A$2:$H$15,6,FALSE)</f>
        <v>Cohabitating</v>
      </c>
      <c r="I30" s="3" t="str">
        <f>VLOOKUP(D30,'Roster Error'!$A$2:$H$15,7,FALSE)</f>
        <v>Male</v>
      </c>
      <c r="J30" s="3" t="str">
        <f>VLOOKUP(D30,'Roster Error'!$A$2:$H$15,8,FALSE)</f>
        <v>No</v>
      </c>
      <c r="K30" s="3">
        <v>422</v>
      </c>
      <c r="L30" s="42"/>
      <c r="M30" s="17"/>
    </row>
    <row r="31" spans="1:13">
      <c r="A31">
        <v>29</v>
      </c>
      <c r="B31" t="str">
        <f>VLOOKUP(D31,'Roster Error'!$A$2:$H$15,3,FALSE)</f>
        <v>FROKOM Brillant</v>
      </c>
      <c r="C31" t="str">
        <f>VLOOKUP(D31,'Roster Error'!$A$2:$H$15,2,FALSE)</f>
        <v>CAR2101272</v>
      </c>
      <c r="D31" s="3">
        <v>74</v>
      </c>
      <c r="E31" t="s">
        <v>195</v>
      </c>
      <c r="F31" s="3">
        <f>VLOOKUP(D31,'Roster Error'!$A$2:$H$15,4,FALSE)</f>
        <v>46</v>
      </c>
      <c r="G31" s="3" t="str">
        <f>VLOOKUP(D31,'Roster Error'!$A$2:$H$15,5,FALSE)</f>
        <v>Male</v>
      </c>
      <c r="H31" s="3" t="str">
        <f>VLOOKUP(D31,'Roster Error'!$A$2:$H$15,6,FALSE)</f>
        <v>Cohabitating</v>
      </c>
      <c r="I31" s="3" t="str">
        <f>VLOOKUP(D31,'Roster Error'!$A$2:$H$15,7,FALSE)</f>
        <v>Male</v>
      </c>
      <c r="J31" s="3" t="str">
        <f>VLOOKUP(D31,'Roster Error'!$A$2:$H$15,8,FALSE)</f>
        <v>No</v>
      </c>
      <c r="K31" s="3">
        <v>423</v>
      </c>
      <c r="L31" s="42"/>
      <c r="M31" s="17"/>
    </row>
    <row r="32" spans="1:13">
      <c r="A32">
        <v>30</v>
      </c>
      <c r="B32" t="str">
        <f>VLOOKUP(D32,'Roster Error'!$A$2:$H$15,3,FALSE)</f>
        <v>FROKOM Brillant</v>
      </c>
      <c r="C32" t="str">
        <f>VLOOKUP(D32,'Roster Error'!$A$2:$H$15,2,FALSE)</f>
        <v>CAR2101272</v>
      </c>
      <c r="D32" s="3">
        <v>74</v>
      </c>
      <c r="E32" t="s">
        <v>200</v>
      </c>
      <c r="F32" s="3">
        <f>VLOOKUP(D32,'Roster Error'!$A$2:$H$15,4,FALSE)</f>
        <v>46</v>
      </c>
      <c r="G32" s="3" t="str">
        <f>VLOOKUP(D32,'Roster Error'!$A$2:$H$15,5,FALSE)</f>
        <v>Male</v>
      </c>
      <c r="H32" s="3" t="str">
        <f>VLOOKUP(D32,'Roster Error'!$A$2:$H$15,6,FALSE)</f>
        <v>Cohabitating</v>
      </c>
      <c r="I32" s="3" t="str">
        <f>VLOOKUP(D32,'Roster Error'!$A$2:$H$15,7,FALSE)</f>
        <v>Male</v>
      </c>
      <c r="J32" s="3" t="str">
        <f>VLOOKUP(D32,'Roster Error'!$A$2:$H$15,8,FALSE)</f>
        <v>No</v>
      </c>
      <c r="K32" s="3">
        <v>424</v>
      </c>
      <c r="L32" s="42"/>
      <c r="M32" s="17"/>
    </row>
    <row r="33" spans="1:13">
      <c r="A33">
        <v>31</v>
      </c>
      <c r="B33" t="str">
        <f>VLOOKUP(D33,'Roster Error'!$A$2:$H$15,3,FALSE)</f>
        <v>FROKOM Brillant</v>
      </c>
      <c r="C33" t="str">
        <f>VLOOKUP(D33,'Roster Error'!$A$2:$H$15,2,FALSE)</f>
        <v>CAR2101272</v>
      </c>
      <c r="D33" s="3">
        <v>74</v>
      </c>
      <c r="E33" t="s">
        <v>200</v>
      </c>
      <c r="F33" s="3">
        <f>VLOOKUP(D33,'Roster Error'!$A$2:$H$15,4,FALSE)</f>
        <v>46</v>
      </c>
      <c r="G33" s="3" t="str">
        <f>VLOOKUP(D33,'Roster Error'!$A$2:$H$15,5,FALSE)</f>
        <v>Male</v>
      </c>
      <c r="H33" s="3" t="str">
        <f>VLOOKUP(D33,'Roster Error'!$A$2:$H$15,6,FALSE)</f>
        <v>Cohabitating</v>
      </c>
      <c r="I33" s="3" t="str">
        <f>VLOOKUP(D33,'Roster Error'!$A$2:$H$15,7,FALSE)</f>
        <v>Male</v>
      </c>
      <c r="J33" s="3" t="str">
        <f>VLOOKUP(D33,'Roster Error'!$A$2:$H$15,8,FALSE)</f>
        <v>No</v>
      </c>
      <c r="K33" s="3">
        <v>425</v>
      </c>
      <c r="L33" s="42"/>
      <c r="M33" s="17"/>
    </row>
    <row r="34" spans="1:13">
      <c r="A34">
        <v>32</v>
      </c>
      <c r="B34" t="str">
        <f>VLOOKUP(D34,'Roster Error'!$A$2:$H$15,3,FALSE)</f>
        <v>FROKOM Brillant</v>
      </c>
      <c r="C34" t="str">
        <f>VLOOKUP(D34,'Roster Error'!$A$2:$H$15,2,FALSE)</f>
        <v>CAR2101272</v>
      </c>
      <c r="D34" s="3">
        <v>74</v>
      </c>
      <c r="E34" t="s">
        <v>199</v>
      </c>
      <c r="F34" s="3">
        <f>VLOOKUP(D34,'Roster Error'!$A$2:$H$15,4,FALSE)</f>
        <v>46</v>
      </c>
      <c r="G34" s="3" t="str">
        <f>VLOOKUP(D34,'Roster Error'!$A$2:$H$15,5,FALSE)</f>
        <v>Male</v>
      </c>
      <c r="H34" s="3" t="str">
        <f>VLOOKUP(D34,'Roster Error'!$A$2:$H$15,6,FALSE)</f>
        <v>Cohabitating</v>
      </c>
      <c r="I34" s="3" t="str">
        <f>VLOOKUP(D34,'Roster Error'!$A$2:$H$15,7,FALSE)</f>
        <v>Male</v>
      </c>
      <c r="J34" s="3" t="str">
        <f>VLOOKUP(D34,'Roster Error'!$A$2:$H$15,8,FALSE)</f>
        <v>No</v>
      </c>
      <c r="K34" s="3">
        <v>426</v>
      </c>
      <c r="L34" s="42"/>
      <c r="M34" s="17"/>
    </row>
    <row r="35" spans="1:13">
      <c r="A35">
        <v>33</v>
      </c>
      <c r="B35" t="str">
        <f>VLOOKUP(D35,'Roster Error'!$A$2:$H$15,3,FALSE)</f>
        <v>FROKOM Brillant</v>
      </c>
      <c r="C35" t="str">
        <f>VLOOKUP(D35,'Roster Error'!$A$2:$H$15,2,FALSE)</f>
        <v>CAR2101272</v>
      </c>
      <c r="D35" s="3">
        <v>74</v>
      </c>
      <c r="E35" t="s">
        <v>200</v>
      </c>
      <c r="F35" s="3">
        <f>VLOOKUP(D35,'Roster Error'!$A$2:$H$15,4,FALSE)</f>
        <v>46</v>
      </c>
      <c r="G35" s="3" t="str">
        <f>VLOOKUP(D35,'Roster Error'!$A$2:$H$15,5,FALSE)</f>
        <v>Male</v>
      </c>
      <c r="H35" s="3" t="str">
        <f>VLOOKUP(D35,'Roster Error'!$A$2:$H$15,6,FALSE)</f>
        <v>Cohabitating</v>
      </c>
      <c r="I35" s="3" t="str">
        <f>VLOOKUP(D35,'Roster Error'!$A$2:$H$15,7,FALSE)</f>
        <v>Male</v>
      </c>
      <c r="J35" s="3" t="str">
        <f>VLOOKUP(D35,'Roster Error'!$A$2:$H$15,8,FALSE)</f>
        <v>No</v>
      </c>
      <c r="K35" s="3">
        <v>427</v>
      </c>
      <c r="L35" s="42"/>
      <c r="M35" s="17"/>
    </row>
    <row r="36" spans="1:13">
      <c r="A36">
        <v>34</v>
      </c>
      <c r="B36" t="str">
        <f>VLOOKUP(D36,'Roster Error'!$A$2:$H$15,3,FALSE)</f>
        <v>FROKOM Brillant</v>
      </c>
      <c r="C36" t="str">
        <f>VLOOKUP(D36,'Roster Error'!$A$2:$H$15,2,FALSE)</f>
        <v>CAR2101272</v>
      </c>
      <c r="D36" s="3">
        <v>74</v>
      </c>
      <c r="E36" t="s">
        <v>200</v>
      </c>
      <c r="F36" s="3">
        <f>VLOOKUP(D36,'Roster Error'!$A$2:$H$15,4,FALSE)</f>
        <v>46</v>
      </c>
      <c r="G36" s="3" t="str">
        <f>VLOOKUP(D36,'Roster Error'!$A$2:$H$15,5,FALSE)</f>
        <v>Male</v>
      </c>
      <c r="H36" s="3" t="str">
        <f>VLOOKUP(D36,'Roster Error'!$A$2:$H$15,6,FALSE)</f>
        <v>Cohabitating</v>
      </c>
      <c r="I36" s="3" t="str">
        <f>VLOOKUP(D36,'Roster Error'!$A$2:$H$15,7,FALSE)</f>
        <v>Male</v>
      </c>
      <c r="J36" s="3" t="str">
        <f>VLOOKUP(D36,'Roster Error'!$A$2:$H$15,8,FALSE)</f>
        <v>No</v>
      </c>
      <c r="K36" s="3">
        <v>428</v>
      </c>
      <c r="L36" s="42"/>
      <c r="M36" s="17"/>
    </row>
    <row r="37" spans="1:13">
      <c r="A37">
        <v>35</v>
      </c>
      <c r="B37" t="str">
        <f>VLOOKUP(D37,'Roster Error'!$A$2:$H$15,3,FALSE)</f>
        <v>FROKOM Brillant</v>
      </c>
      <c r="C37" t="str">
        <f>VLOOKUP(D37,'Roster Error'!$A$2:$H$15,2,FALSE)</f>
        <v>CAR2101262</v>
      </c>
      <c r="D37" s="3">
        <v>75</v>
      </c>
      <c r="E37" t="s">
        <v>195</v>
      </c>
      <c r="F37" s="3">
        <f>VLOOKUP(D37,'Roster Error'!$A$2:$H$15,4,FALSE)</f>
        <v>35</v>
      </c>
      <c r="G37" s="3" t="str">
        <f>VLOOKUP(D37,'Roster Error'!$A$2:$H$15,5,FALSE)</f>
        <v>Female</v>
      </c>
      <c r="H37" s="3" t="str">
        <f>VLOOKUP(D37,'Roster Error'!$A$2:$H$15,6,FALSE)</f>
        <v>Cohabitating</v>
      </c>
      <c r="I37" s="3" t="str">
        <f>VLOOKUP(D37,'Roster Error'!$A$2:$H$15,7,FALSE)</f>
        <v>Male</v>
      </c>
      <c r="J37" s="3" t="str">
        <f>VLOOKUP(D37,'Roster Error'!$A$2:$H$15,8,FALSE)</f>
        <v>Yes</v>
      </c>
      <c r="K37" s="3">
        <v>429</v>
      </c>
      <c r="L37" s="42"/>
      <c r="M37" s="17"/>
    </row>
    <row r="38" spans="1:13">
      <c r="A38">
        <v>36</v>
      </c>
      <c r="B38" t="str">
        <f>VLOOKUP(D38,'Roster Error'!$A$2:$H$15,3,FALSE)</f>
        <v>FROKOM Brillant</v>
      </c>
      <c r="C38" t="str">
        <f>VLOOKUP(D38,'Roster Error'!$A$2:$H$15,2,FALSE)</f>
        <v>CAR2101262</v>
      </c>
      <c r="D38" s="3">
        <v>75</v>
      </c>
      <c r="E38" t="s">
        <v>200</v>
      </c>
      <c r="F38" s="3">
        <f>VLOOKUP(D38,'Roster Error'!$A$2:$H$15,4,FALSE)</f>
        <v>35</v>
      </c>
      <c r="G38" s="3" t="str">
        <f>VLOOKUP(D38,'Roster Error'!$A$2:$H$15,5,FALSE)</f>
        <v>Female</v>
      </c>
      <c r="H38" s="3" t="str">
        <f>VLOOKUP(D38,'Roster Error'!$A$2:$H$15,6,FALSE)</f>
        <v>Cohabitating</v>
      </c>
      <c r="I38" s="3" t="str">
        <f>VLOOKUP(D38,'Roster Error'!$A$2:$H$15,7,FALSE)</f>
        <v>Male</v>
      </c>
      <c r="J38" s="3" t="str">
        <f>VLOOKUP(D38,'Roster Error'!$A$2:$H$15,8,FALSE)</f>
        <v>Yes</v>
      </c>
      <c r="K38" s="3">
        <v>430</v>
      </c>
      <c r="L38" s="42"/>
      <c r="M38" s="17"/>
    </row>
    <row r="39" spans="1:13">
      <c r="A39">
        <v>37</v>
      </c>
      <c r="B39" t="str">
        <f>VLOOKUP(D39,'Roster Error'!$A$2:$H$15,3,FALSE)</f>
        <v>FROKOM Brillant</v>
      </c>
      <c r="C39" t="str">
        <f>VLOOKUP(D39,'Roster Error'!$A$2:$H$15,2,FALSE)</f>
        <v>CAR2101262</v>
      </c>
      <c r="D39" s="3">
        <v>75</v>
      </c>
      <c r="E39" t="s">
        <v>198</v>
      </c>
      <c r="F39" s="3">
        <f>VLOOKUP(D39,'Roster Error'!$A$2:$H$15,4,FALSE)</f>
        <v>35</v>
      </c>
      <c r="G39" s="3" t="str">
        <f>VLOOKUP(D39,'Roster Error'!$A$2:$H$15,5,FALSE)</f>
        <v>Female</v>
      </c>
      <c r="H39" s="3" t="str">
        <f>VLOOKUP(D39,'Roster Error'!$A$2:$H$15,6,FALSE)</f>
        <v>Cohabitating</v>
      </c>
      <c r="I39" s="3" t="str">
        <f>VLOOKUP(D39,'Roster Error'!$A$2:$H$15,7,FALSE)</f>
        <v>Male</v>
      </c>
      <c r="J39" s="3" t="str">
        <f>VLOOKUP(D39,'Roster Error'!$A$2:$H$15,8,FALSE)</f>
        <v>Yes</v>
      </c>
      <c r="K39" s="3">
        <v>431</v>
      </c>
      <c r="L39" s="42"/>
      <c r="M39" s="17"/>
    </row>
    <row r="40" spans="1:13">
      <c r="A40">
        <v>38</v>
      </c>
      <c r="B40" t="str">
        <f>VLOOKUP(D40,'Roster Error'!$A$2:$H$15,3,FALSE)</f>
        <v>FROKOM Brillant</v>
      </c>
      <c r="C40" t="str">
        <f>VLOOKUP(D40,'Roster Error'!$A$2:$H$15,2,FALSE)</f>
        <v>CAR2101262</v>
      </c>
      <c r="D40" s="3">
        <v>75</v>
      </c>
      <c r="E40" t="s">
        <v>200</v>
      </c>
      <c r="F40" s="3">
        <f>VLOOKUP(D40,'Roster Error'!$A$2:$H$15,4,FALSE)</f>
        <v>35</v>
      </c>
      <c r="G40" s="3" t="str">
        <f>VLOOKUP(D40,'Roster Error'!$A$2:$H$15,5,FALSE)</f>
        <v>Female</v>
      </c>
      <c r="H40" s="3" t="str">
        <f>VLOOKUP(D40,'Roster Error'!$A$2:$H$15,6,FALSE)</f>
        <v>Cohabitating</v>
      </c>
      <c r="I40" s="3" t="str">
        <f>VLOOKUP(D40,'Roster Error'!$A$2:$H$15,7,FALSE)</f>
        <v>Male</v>
      </c>
      <c r="J40" s="3" t="str">
        <f>VLOOKUP(D40,'Roster Error'!$A$2:$H$15,8,FALSE)</f>
        <v>Yes</v>
      </c>
      <c r="K40" s="3">
        <v>432</v>
      </c>
      <c r="L40" s="42"/>
      <c r="M40" s="17"/>
    </row>
    <row r="41" spans="1:13">
      <c r="A41">
        <v>39</v>
      </c>
      <c r="B41" t="str">
        <f>VLOOKUP(D41,'Roster Error'!$A$2:$H$15,3,FALSE)</f>
        <v>FROKOM Brillant</v>
      </c>
      <c r="C41" t="str">
        <f>VLOOKUP(D41,'Roster Error'!$A$2:$H$15,2,FALSE)</f>
        <v>CAR2101262</v>
      </c>
      <c r="D41" s="3">
        <v>75</v>
      </c>
      <c r="E41" t="s">
        <v>197</v>
      </c>
      <c r="F41" s="3">
        <f>VLOOKUP(D41,'Roster Error'!$A$2:$H$15,4,FALSE)</f>
        <v>35</v>
      </c>
      <c r="G41" s="3" t="str">
        <f>VLOOKUP(D41,'Roster Error'!$A$2:$H$15,5,FALSE)</f>
        <v>Female</v>
      </c>
      <c r="H41" s="3" t="str">
        <f>VLOOKUP(D41,'Roster Error'!$A$2:$H$15,6,FALSE)</f>
        <v>Cohabitating</v>
      </c>
      <c r="I41" s="3" t="str">
        <f>VLOOKUP(D41,'Roster Error'!$A$2:$H$15,7,FALSE)</f>
        <v>Male</v>
      </c>
      <c r="J41" s="3" t="str">
        <f>VLOOKUP(D41,'Roster Error'!$A$2:$H$15,8,FALSE)</f>
        <v>Yes</v>
      </c>
      <c r="K41" s="3">
        <v>433</v>
      </c>
      <c r="L41" s="42"/>
      <c r="M41" s="17"/>
    </row>
    <row r="42" spans="1:13">
      <c r="A42">
        <v>40</v>
      </c>
      <c r="B42" t="str">
        <f>VLOOKUP(D42,'Roster Error'!$A$2:$H$15,3,FALSE)</f>
        <v>FROKOM Brillant</v>
      </c>
      <c r="C42" t="str">
        <f>VLOOKUP(D42,'Roster Error'!$A$2:$H$15,2,FALSE)</f>
        <v>CAR2101262</v>
      </c>
      <c r="D42" s="3">
        <v>75</v>
      </c>
      <c r="E42" t="s">
        <v>198</v>
      </c>
      <c r="F42" s="3">
        <f>VLOOKUP(D42,'Roster Error'!$A$2:$H$15,4,FALSE)</f>
        <v>35</v>
      </c>
      <c r="G42" s="3" t="str">
        <f>VLOOKUP(D42,'Roster Error'!$A$2:$H$15,5,FALSE)</f>
        <v>Female</v>
      </c>
      <c r="H42" s="3" t="str">
        <f>VLOOKUP(D42,'Roster Error'!$A$2:$H$15,6,FALSE)</f>
        <v>Cohabitating</v>
      </c>
      <c r="I42" s="3" t="str">
        <f>VLOOKUP(D42,'Roster Error'!$A$2:$H$15,7,FALSE)</f>
        <v>Male</v>
      </c>
      <c r="J42" s="3" t="str">
        <f>VLOOKUP(D42,'Roster Error'!$A$2:$H$15,8,FALSE)</f>
        <v>Yes</v>
      </c>
      <c r="K42" s="3">
        <v>434</v>
      </c>
      <c r="L42" s="42"/>
      <c r="M42" s="17"/>
    </row>
    <row r="43" spans="1:13">
      <c r="A43">
        <v>41</v>
      </c>
      <c r="B43" t="str">
        <f>VLOOKUP(D43,'Roster Error'!$A$2:$H$15,3,FALSE)</f>
        <v>FROKOM Brillant</v>
      </c>
      <c r="C43" t="str">
        <f>VLOOKUP(D43,'Roster Error'!$A$2:$H$15,2,FALSE)</f>
        <v>CAR2101262</v>
      </c>
      <c r="D43" s="3">
        <v>75</v>
      </c>
      <c r="E43" t="s">
        <v>200</v>
      </c>
      <c r="F43" s="3">
        <f>VLOOKUP(D43,'Roster Error'!$A$2:$H$15,4,FALSE)</f>
        <v>35</v>
      </c>
      <c r="G43" s="3" t="str">
        <f>VLOOKUP(D43,'Roster Error'!$A$2:$H$15,5,FALSE)</f>
        <v>Female</v>
      </c>
      <c r="H43" s="3" t="str">
        <f>VLOOKUP(D43,'Roster Error'!$A$2:$H$15,6,FALSE)</f>
        <v>Cohabitating</v>
      </c>
      <c r="I43" s="3" t="str">
        <f>VLOOKUP(D43,'Roster Error'!$A$2:$H$15,7,FALSE)</f>
        <v>Male</v>
      </c>
      <c r="J43" s="3" t="str">
        <f>VLOOKUP(D43,'Roster Error'!$A$2:$H$15,8,FALSE)</f>
        <v>Yes</v>
      </c>
      <c r="K43" s="3">
        <v>435</v>
      </c>
      <c r="L43" s="42"/>
      <c r="M43" s="17"/>
    </row>
    <row r="44" spans="1:13">
      <c r="A44">
        <v>42</v>
      </c>
      <c r="B44" t="str">
        <f>VLOOKUP(D44,'Roster Error'!$A$2:$H$15,3,FALSE)</f>
        <v>FROKOM Brillant</v>
      </c>
      <c r="C44" t="str">
        <f>VLOOKUP(D44,'Roster Error'!$A$2:$H$15,2,FALSE)</f>
        <v>CAR2101262</v>
      </c>
      <c r="D44" s="3">
        <v>75</v>
      </c>
      <c r="E44" t="s">
        <v>199</v>
      </c>
      <c r="F44" s="3">
        <f>VLOOKUP(D44,'Roster Error'!$A$2:$H$15,4,FALSE)</f>
        <v>35</v>
      </c>
      <c r="G44" s="3" t="str">
        <f>VLOOKUP(D44,'Roster Error'!$A$2:$H$15,5,FALSE)</f>
        <v>Female</v>
      </c>
      <c r="H44" s="3" t="str">
        <f>VLOOKUP(D44,'Roster Error'!$A$2:$H$15,6,FALSE)</f>
        <v>Cohabitating</v>
      </c>
      <c r="I44" s="3" t="str">
        <f>VLOOKUP(D44,'Roster Error'!$A$2:$H$15,7,FALSE)</f>
        <v>Male</v>
      </c>
      <c r="J44" s="3" t="str">
        <f>VLOOKUP(D44,'Roster Error'!$A$2:$H$15,8,FALSE)</f>
        <v>Yes</v>
      </c>
      <c r="K44" s="3">
        <v>436</v>
      </c>
      <c r="L44" s="42"/>
      <c r="M44" s="17"/>
    </row>
    <row r="45" spans="1:13">
      <c r="A45">
        <v>43</v>
      </c>
      <c r="B45" t="str">
        <f>VLOOKUP(D45,'Roster Error'!$A$2:$H$15,3,FALSE)</f>
        <v>FROKOM Brillant</v>
      </c>
      <c r="C45" t="str">
        <f>VLOOKUP(D45,'Roster Error'!$A$2:$H$15,2,FALSE)</f>
        <v>CAR210362</v>
      </c>
      <c r="D45" s="3">
        <v>76</v>
      </c>
      <c r="E45" t="s">
        <v>197</v>
      </c>
      <c r="F45" s="3">
        <f>VLOOKUP(D45,'Roster Error'!$A$2:$H$15,4,FALSE)</f>
        <v>41</v>
      </c>
      <c r="G45" s="3" t="str">
        <f>VLOOKUP(D45,'Roster Error'!$A$2:$H$15,5,FALSE)</f>
        <v>Male</v>
      </c>
      <c r="H45" s="3" t="str">
        <f>VLOOKUP(D45,'Roster Error'!$A$2:$H$15,6,FALSE)</f>
        <v>Cohabitating</v>
      </c>
      <c r="I45" s="3" t="str">
        <f>VLOOKUP(D45,'Roster Error'!$A$2:$H$15,7,FALSE)</f>
        <v>Female</v>
      </c>
      <c r="J45" s="3" t="str">
        <f>VLOOKUP(D45,'Roster Error'!$A$2:$H$15,8,FALSE)</f>
        <v>No</v>
      </c>
      <c r="K45" s="3">
        <v>437</v>
      </c>
      <c r="L45" s="42"/>
      <c r="M45" s="17"/>
    </row>
    <row r="46" spans="1:13">
      <c r="A46">
        <v>44</v>
      </c>
      <c r="B46" t="str">
        <f>VLOOKUP(D46,'Roster Error'!$A$2:$H$15,3,FALSE)</f>
        <v>FROKOM Brillant</v>
      </c>
      <c r="C46" t="str">
        <f>VLOOKUP(D46,'Roster Error'!$A$2:$H$15,2,FALSE)</f>
        <v>CAR210362</v>
      </c>
      <c r="D46" s="3">
        <v>76</v>
      </c>
      <c r="E46" t="s">
        <v>195</v>
      </c>
      <c r="F46" s="3">
        <f>VLOOKUP(D46,'Roster Error'!$A$2:$H$15,4,FALSE)</f>
        <v>41</v>
      </c>
      <c r="G46" s="3" t="str">
        <f>VLOOKUP(D46,'Roster Error'!$A$2:$H$15,5,FALSE)</f>
        <v>Male</v>
      </c>
      <c r="H46" s="3" t="str">
        <f>VLOOKUP(D46,'Roster Error'!$A$2:$H$15,6,FALSE)</f>
        <v>Cohabitating</v>
      </c>
      <c r="I46" s="3" t="str">
        <f>VLOOKUP(D46,'Roster Error'!$A$2:$H$15,7,FALSE)</f>
        <v>Female</v>
      </c>
      <c r="J46" s="3" t="str">
        <f>VLOOKUP(D46,'Roster Error'!$A$2:$H$15,8,FALSE)</f>
        <v>No</v>
      </c>
      <c r="K46" s="3">
        <v>438</v>
      </c>
      <c r="L46" s="42"/>
      <c r="M46" s="17"/>
    </row>
    <row r="47" spans="1:13">
      <c r="A47">
        <v>45</v>
      </c>
      <c r="B47" t="str">
        <f>VLOOKUP(D47,'Roster Error'!$A$2:$H$15,3,FALSE)</f>
        <v>FROKOM Brillant</v>
      </c>
      <c r="C47" t="str">
        <f>VLOOKUP(D47,'Roster Error'!$A$2:$H$15,2,FALSE)</f>
        <v>CAR210362</v>
      </c>
      <c r="D47" s="3">
        <v>76</v>
      </c>
      <c r="E47" t="s">
        <v>200</v>
      </c>
      <c r="F47" s="3">
        <f>VLOOKUP(D47,'Roster Error'!$A$2:$H$15,4,FALSE)</f>
        <v>41</v>
      </c>
      <c r="G47" s="3" t="str">
        <f>VLOOKUP(D47,'Roster Error'!$A$2:$H$15,5,FALSE)</f>
        <v>Male</v>
      </c>
      <c r="H47" s="3" t="str">
        <f>VLOOKUP(D47,'Roster Error'!$A$2:$H$15,6,FALSE)</f>
        <v>Cohabitating</v>
      </c>
      <c r="I47" s="3" t="str">
        <f>VLOOKUP(D47,'Roster Error'!$A$2:$H$15,7,FALSE)</f>
        <v>Female</v>
      </c>
      <c r="J47" s="3" t="str">
        <f>VLOOKUP(D47,'Roster Error'!$A$2:$H$15,8,FALSE)</f>
        <v>No</v>
      </c>
      <c r="K47" s="3">
        <v>439</v>
      </c>
      <c r="L47" s="42"/>
      <c r="M47" s="17"/>
    </row>
    <row r="48" spans="1:13">
      <c r="A48">
        <v>46</v>
      </c>
      <c r="B48" t="str">
        <f>VLOOKUP(D48,'Roster Error'!$A$2:$H$15,3,FALSE)</f>
        <v>FROKOM Brillant</v>
      </c>
      <c r="C48" t="str">
        <f>VLOOKUP(D48,'Roster Error'!$A$2:$H$15,2,FALSE)</f>
        <v>CAR210362</v>
      </c>
      <c r="D48" s="3">
        <v>76</v>
      </c>
      <c r="E48" t="s">
        <v>200</v>
      </c>
      <c r="F48" s="3">
        <f>VLOOKUP(D48,'Roster Error'!$A$2:$H$15,4,FALSE)</f>
        <v>41</v>
      </c>
      <c r="G48" s="3" t="str">
        <f>VLOOKUP(D48,'Roster Error'!$A$2:$H$15,5,FALSE)</f>
        <v>Male</v>
      </c>
      <c r="H48" s="3" t="str">
        <f>VLOOKUP(D48,'Roster Error'!$A$2:$H$15,6,FALSE)</f>
        <v>Cohabitating</v>
      </c>
      <c r="I48" s="3" t="str">
        <f>VLOOKUP(D48,'Roster Error'!$A$2:$H$15,7,FALSE)</f>
        <v>Female</v>
      </c>
      <c r="J48" s="3" t="str">
        <f>VLOOKUP(D48,'Roster Error'!$A$2:$H$15,8,FALSE)</f>
        <v>No</v>
      </c>
      <c r="K48" s="3">
        <v>440</v>
      </c>
      <c r="L48" s="42"/>
      <c r="M48" s="17"/>
    </row>
    <row r="49" spans="1:13">
      <c r="A49">
        <v>47</v>
      </c>
      <c r="B49" t="str">
        <f>VLOOKUP(D49,'Roster Error'!$A$2:$H$15,3,FALSE)</f>
        <v>FROKOM Brillant</v>
      </c>
      <c r="C49" t="str">
        <f>VLOOKUP(D49,'Roster Error'!$A$2:$H$15,2,FALSE)</f>
        <v>CAR210362</v>
      </c>
      <c r="D49" s="3">
        <v>76</v>
      </c>
      <c r="E49" t="s">
        <v>198</v>
      </c>
      <c r="F49" s="3">
        <f>VLOOKUP(D49,'Roster Error'!$A$2:$H$15,4,FALSE)</f>
        <v>41</v>
      </c>
      <c r="G49" s="3" t="str">
        <f>VLOOKUP(D49,'Roster Error'!$A$2:$H$15,5,FALSE)</f>
        <v>Male</v>
      </c>
      <c r="H49" s="3" t="str">
        <f>VLOOKUP(D49,'Roster Error'!$A$2:$H$15,6,FALSE)</f>
        <v>Cohabitating</v>
      </c>
      <c r="I49" s="3" t="str">
        <f>VLOOKUP(D49,'Roster Error'!$A$2:$H$15,7,FALSE)</f>
        <v>Female</v>
      </c>
      <c r="J49" s="3" t="str">
        <f>VLOOKUP(D49,'Roster Error'!$A$2:$H$15,8,FALSE)</f>
        <v>No</v>
      </c>
      <c r="K49" s="3">
        <v>441</v>
      </c>
      <c r="L49" s="42"/>
      <c r="M49" s="17"/>
    </row>
    <row r="50" spans="1:13">
      <c r="A50">
        <v>48</v>
      </c>
      <c r="B50" t="str">
        <f>VLOOKUP(D50,'Roster Error'!$A$2:$H$15,3,FALSE)</f>
        <v>FROKOM Brillant</v>
      </c>
      <c r="C50" t="str">
        <f>VLOOKUP(D50,'Roster Error'!$A$2:$H$15,2,FALSE)</f>
        <v>CAR210362</v>
      </c>
      <c r="D50" s="3">
        <v>76</v>
      </c>
      <c r="E50" t="s">
        <v>200</v>
      </c>
      <c r="F50" s="3">
        <f>VLOOKUP(D50,'Roster Error'!$A$2:$H$15,4,FALSE)</f>
        <v>41</v>
      </c>
      <c r="G50" s="3" t="str">
        <f>VLOOKUP(D50,'Roster Error'!$A$2:$H$15,5,FALSE)</f>
        <v>Male</v>
      </c>
      <c r="H50" s="3" t="str">
        <f>VLOOKUP(D50,'Roster Error'!$A$2:$H$15,6,FALSE)</f>
        <v>Cohabitating</v>
      </c>
      <c r="I50" s="3" t="str">
        <f>VLOOKUP(D50,'Roster Error'!$A$2:$H$15,7,FALSE)</f>
        <v>Female</v>
      </c>
      <c r="J50" s="3" t="str">
        <f>VLOOKUP(D50,'Roster Error'!$A$2:$H$15,8,FALSE)</f>
        <v>No</v>
      </c>
      <c r="K50" s="3">
        <v>442</v>
      </c>
      <c r="L50" s="42"/>
      <c r="M50" s="17"/>
    </row>
    <row r="51" spans="1:13">
      <c r="A51">
        <v>49</v>
      </c>
      <c r="B51" t="str">
        <f>VLOOKUP(D51,'Roster Error'!$A$2:$H$15,3,FALSE)</f>
        <v>FROKOM Brillant</v>
      </c>
      <c r="C51" t="str">
        <f>VLOOKUP(D51,'Roster Error'!$A$2:$H$15,2,FALSE)</f>
        <v>CAR210363</v>
      </c>
      <c r="D51" s="3">
        <v>77</v>
      </c>
      <c r="E51" t="s">
        <v>197</v>
      </c>
      <c r="F51" s="3">
        <f>VLOOKUP(D51,'Roster Error'!$A$2:$H$15,4,FALSE)</f>
        <v>61</v>
      </c>
      <c r="G51" s="3" t="str">
        <f>VLOOKUP(D51,'Roster Error'!$A$2:$H$15,5,FALSE)</f>
        <v>Female</v>
      </c>
      <c r="H51" s="3" t="str">
        <f>VLOOKUP(D51,'Roster Error'!$A$2:$H$15,6,FALSE)</f>
        <v>Widowed</v>
      </c>
      <c r="I51" s="3" t="str">
        <f>VLOOKUP(D51,'Roster Error'!$A$2:$H$15,7,FALSE)</f>
        <v>Female</v>
      </c>
      <c r="J51" s="3" t="str">
        <f>VLOOKUP(D51,'Roster Error'!$A$2:$H$15,8,FALSE)</f>
        <v>No</v>
      </c>
      <c r="K51" s="3">
        <v>443</v>
      </c>
      <c r="L51" s="42"/>
      <c r="M51" s="17"/>
    </row>
    <row r="52" spans="1:13">
      <c r="A52">
        <v>50</v>
      </c>
      <c r="B52" t="str">
        <f>VLOOKUP(D52,'Roster Error'!$A$2:$H$15,3,FALSE)</f>
        <v>FROKOM Brillant</v>
      </c>
      <c r="C52" t="str">
        <f>VLOOKUP(D52,'Roster Error'!$A$2:$H$15,2,FALSE)</f>
        <v>CAR210363</v>
      </c>
      <c r="D52" s="3">
        <v>77</v>
      </c>
      <c r="E52" t="s">
        <v>200</v>
      </c>
      <c r="F52" s="3">
        <f>VLOOKUP(D52,'Roster Error'!$A$2:$H$15,4,FALSE)</f>
        <v>61</v>
      </c>
      <c r="G52" s="3" t="str">
        <f>VLOOKUP(D52,'Roster Error'!$A$2:$H$15,5,FALSE)</f>
        <v>Female</v>
      </c>
      <c r="H52" s="3" t="str">
        <f>VLOOKUP(D52,'Roster Error'!$A$2:$H$15,6,FALSE)</f>
        <v>Widowed</v>
      </c>
      <c r="I52" s="3" t="str">
        <f>VLOOKUP(D52,'Roster Error'!$A$2:$H$15,7,FALSE)</f>
        <v>Female</v>
      </c>
      <c r="J52" s="3" t="str">
        <f>VLOOKUP(D52,'Roster Error'!$A$2:$H$15,8,FALSE)</f>
        <v>No</v>
      </c>
      <c r="K52" s="3">
        <v>444</v>
      </c>
      <c r="L52" s="42"/>
      <c r="M52" s="17"/>
    </row>
    <row r="53" spans="1:13">
      <c r="A53">
        <v>51</v>
      </c>
      <c r="B53" t="str">
        <f>VLOOKUP(D53,'Roster Error'!$A$2:$H$15,3,FALSE)</f>
        <v>FROKOM Brillant</v>
      </c>
      <c r="C53" t="str">
        <f>VLOOKUP(D53,'Roster Error'!$A$2:$H$15,2,FALSE)</f>
        <v>CAR210363</v>
      </c>
      <c r="D53" s="3">
        <v>77</v>
      </c>
      <c r="E53" t="s">
        <v>200</v>
      </c>
      <c r="F53" s="3">
        <f>VLOOKUP(D53,'Roster Error'!$A$2:$H$15,4,FALSE)</f>
        <v>61</v>
      </c>
      <c r="G53" s="3" t="str">
        <f>VLOOKUP(D53,'Roster Error'!$A$2:$H$15,5,FALSE)</f>
        <v>Female</v>
      </c>
      <c r="H53" s="3" t="str">
        <f>VLOOKUP(D53,'Roster Error'!$A$2:$H$15,6,FALSE)</f>
        <v>Widowed</v>
      </c>
      <c r="I53" s="3" t="str">
        <f>VLOOKUP(D53,'Roster Error'!$A$2:$H$15,7,FALSE)</f>
        <v>Female</v>
      </c>
      <c r="J53" s="3" t="str">
        <f>VLOOKUP(D53,'Roster Error'!$A$2:$H$15,8,FALSE)</f>
        <v>No</v>
      </c>
      <c r="K53" s="3">
        <v>445</v>
      </c>
      <c r="L53" s="42"/>
      <c r="M53" s="17"/>
    </row>
    <row r="54" spans="1:13">
      <c r="A54">
        <v>52</v>
      </c>
      <c r="B54" t="str">
        <f>VLOOKUP(D54,'Roster Error'!$A$2:$H$15,3,FALSE)</f>
        <v>FROKOM Brillant</v>
      </c>
      <c r="C54" t="str">
        <f>VLOOKUP(D54,'Roster Error'!$A$2:$H$15,2,FALSE)</f>
        <v>CAR210356</v>
      </c>
      <c r="D54" s="3">
        <v>78</v>
      </c>
      <c r="E54" t="s">
        <v>200</v>
      </c>
      <c r="F54" s="3">
        <f>VLOOKUP(D54,'Roster Error'!$A$2:$H$15,4,FALSE)</f>
        <v>18</v>
      </c>
      <c r="G54" s="3" t="str">
        <f>VLOOKUP(D54,'Roster Error'!$A$2:$H$15,5,FALSE)</f>
        <v>Male</v>
      </c>
      <c r="H54" s="3" t="str">
        <f>VLOOKUP(D54,'Roster Error'!$A$2:$H$15,6,FALSE)</f>
        <v>Single</v>
      </c>
      <c r="I54" s="3" t="str">
        <f>VLOOKUP(D54,'Roster Error'!$A$2:$H$15,7,FALSE)</f>
        <v>Male</v>
      </c>
      <c r="J54" s="3" t="str">
        <f>VLOOKUP(D54,'Roster Error'!$A$2:$H$15,8,FALSE)</f>
        <v>No</v>
      </c>
      <c r="K54" s="3">
        <v>446</v>
      </c>
      <c r="L54" s="42"/>
      <c r="M54" s="17"/>
    </row>
    <row r="55" spans="1:13">
      <c r="A55">
        <v>53</v>
      </c>
      <c r="B55" t="str">
        <f>VLOOKUP(D55,'Roster Error'!$A$2:$H$15,3,FALSE)</f>
        <v>FROKOM Brillant</v>
      </c>
      <c r="C55" t="str">
        <f>VLOOKUP(D55,'Roster Error'!$A$2:$H$15,2,FALSE)</f>
        <v>CAR210356</v>
      </c>
      <c r="D55" s="3">
        <v>78</v>
      </c>
      <c r="E55" t="s">
        <v>200</v>
      </c>
      <c r="F55" s="3">
        <f>VLOOKUP(D55,'Roster Error'!$A$2:$H$15,4,FALSE)</f>
        <v>18</v>
      </c>
      <c r="G55" s="3" t="str">
        <f>VLOOKUP(D55,'Roster Error'!$A$2:$H$15,5,FALSE)</f>
        <v>Male</v>
      </c>
      <c r="H55" s="3" t="str">
        <f>VLOOKUP(D55,'Roster Error'!$A$2:$H$15,6,FALSE)</f>
        <v>Single</v>
      </c>
      <c r="I55" s="3" t="str">
        <f>VLOOKUP(D55,'Roster Error'!$A$2:$H$15,7,FALSE)</f>
        <v>Male</v>
      </c>
      <c r="J55" s="3" t="str">
        <f>VLOOKUP(D55,'Roster Error'!$A$2:$H$15,8,FALSE)</f>
        <v>No</v>
      </c>
      <c r="K55" s="3">
        <v>447</v>
      </c>
      <c r="L55" s="42"/>
      <c r="M55" s="17"/>
    </row>
    <row r="56" spans="1:13">
      <c r="A56">
        <v>54</v>
      </c>
      <c r="B56" t="str">
        <f>VLOOKUP(D56,'Roster Error'!$A$2:$H$15,3,FALSE)</f>
        <v>FROKOM Brillant</v>
      </c>
      <c r="C56" t="str">
        <f>VLOOKUP(D56,'Roster Error'!$A$2:$H$15,2,FALSE)</f>
        <v>CAR210356</v>
      </c>
      <c r="D56" s="3">
        <v>78</v>
      </c>
      <c r="E56" t="s">
        <v>199</v>
      </c>
      <c r="F56" s="3">
        <f>VLOOKUP(D56,'Roster Error'!$A$2:$H$15,4,FALSE)</f>
        <v>18</v>
      </c>
      <c r="G56" s="3" t="str">
        <f>VLOOKUP(D56,'Roster Error'!$A$2:$H$15,5,FALSE)</f>
        <v>Male</v>
      </c>
      <c r="H56" s="3" t="str">
        <f>VLOOKUP(D56,'Roster Error'!$A$2:$H$15,6,FALSE)</f>
        <v>Single</v>
      </c>
      <c r="I56" s="3" t="str">
        <f>VLOOKUP(D56,'Roster Error'!$A$2:$H$15,7,FALSE)</f>
        <v>Male</v>
      </c>
      <c r="J56" s="3" t="str">
        <f>VLOOKUP(D56,'Roster Error'!$A$2:$H$15,8,FALSE)</f>
        <v>No</v>
      </c>
      <c r="K56" s="3">
        <v>448</v>
      </c>
      <c r="L56" s="42"/>
      <c r="M56" s="17"/>
    </row>
    <row r="57" spans="1:13">
      <c r="A57">
        <v>55</v>
      </c>
      <c r="B57" t="str">
        <f>VLOOKUP(D57,'Roster Error'!$A$2:$H$15,3,FALSE)</f>
        <v>FROKOM Brillant</v>
      </c>
      <c r="C57" t="str">
        <f>VLOOKUP(D57,'Roster Error'!$A$2:$H$15,2,FALSE)</f>
        <v>CAR210356</v>
      </c>
      <c r="D57" s="3">
        <v>78</v>
      </c>
      <c r="E57" t="s">
        <v>200</v>
      </c>
      <c r="F57" s="3">
        <f>VLOOKUP(D57,'Roster Error'!$A$2:$H$15,4,FALSE)</f>
        <v>18</v>
      </c>
      <c r="G57" s="3" t="str">
        <f>VLOOKUP(D57,'Roster Error'!$A$2:$H$15,5,FALSE)</f>
        <v>Male</v>
      </c>
      <c r="H57" s="3" t="str">
        <f>VLOOKUP(D57,'Roster Error'!$A$2:$H$15,6,FALSE)</f>
        <v>Single</v>
      </c>
      <c r="I57" s="3" t="str">
        <f>VLOOKUP(D57,'Roster Error'!$A$2:$H$15,7,FALSE)</f>
        <v>Male</v>
      </c>
      <c r="J57" s="3" t="str">
        <f>VLOOKUP(D57,'Roster Error'!$A$2:$H$15,8,FALSE)</f>
        <v>No</v>
      </c>
      <c r="K57" s="3">
        <v>449</v>
      </c>
      <c r="L57" s="42"/>
      <c r="M57" s="17"/>
    </row>
    <row r="58" spans="1:13">
      <c r="A58">
        <v>56</v>
      </c>
      <c r="B58" t="str">
        <f>VLOOKUP(D58,'Roster Error'!$A$2:$H$15,3,FALSE)</f>
        <v>FROKOM Brillant</v>
      </c>
      <c r="C58" t="str">
        <f>VLOOKUP(D58,'Roster Error'!$A$2:$H$15,2,FALSE)</f>
        <v>CAR210356</v>
      </c>
      <c r="D58" s="3">
        <v>78</v>
      </c>
      <c r="E58" t="s">
        <v>200</v>
      </c>
      <c r="F58" s="3">
        <f>VLOOKUP(D58,'Roster Error'!$A$2:$H$15,4,FALSE)</f>
        <v>18</v>
      </c>
      <c r="G58" s="3" t="str">
        <f>VLOOKUP(D58,'Roster Error'!$A$2:$H$15,5,FALSE)</f>
        <v>Male</v>
      </c>
      <c r="H58" s="3" t="str">
        <f>VLOOKUP(D58,'Roster Error'!$A$2:$H$15,6,FALSE)</f>
        <v>Single</v>
      </c>
      <c r="I58" s="3" t="str">
        <f>VLOOKUP(D58,'Roster Error'!$A$2:$H$15,7,FALSE)</f>
        <v>Male</v>
      </c>
      <c r="J58" s="3" t="str">
        <f>VLOOKUP(D58,'Roster Error'!$A$2:$H$15,8,FALSE)</f>
        <v>No</v>
      </c>
      <c r="K58" s="3">
        <v>450</v>
      </c>
      <c r="L58" s="42"/>
      <c r="M58" s="17"/>
    </row>
    <row r="59" spans="1:13">
      <c r="A59">
        <v>57</v>
      </c>
      <c r="B59" t="str">
        <f>VLOOKUP(D59,'Roster Error'!$A$2:$H$15,3,FALSE)</f>
        <v>FROKOM Brillant</v>
      </c>
      <c r="C59" t="str">
        <f>VLOOKUP(D59,'Roster Error'!$A$2:$H$15,2,FALSE)</f>
        <v>CAR210356</v>
      </c>
      <c r="D59" s="3">
        <v>78</v>
      </c>
      <c r="E59" t="s">
        <v>200</v>
      </c>
      <c r="F59" s="3">
        <f>VLOOKUP(D59,'Roster Error'!$A$2:$H$15,4,FALSE)</f>
        <v>18</v>
      </c>
      <c r="G59" s="3" t="str">
        <f>VLOOKUP(D59,'Roster Error'!$A$2:$H$15,5,FALSE)</f>
        <v>Male</v>
      </c>
      <c r="H59" s="3" t="str">
        <f>VLOOKUP(D59,'Roster Error'!$A$2:$H$15,6,FALSE)</f>
        <v>Single</v>
      </c>
      <c r="I59" s="3" t="str">
        <f>VLOOKUP(D59,'Roster Error'!$A$2:$H$15,7,FALSE)</f>
        <v>Male</v>
      </c>
      <c r="J59" s="3" t="str">
        <f>VLOOKUP(D59,'Roster Error'!$A$2:$H$15,8,FALSE)</f>
        <v>No</v>
      </c>
      <c r="K59" s="3">
        <v>451</v>
      </c>
      <c r="L59" s="42"/>
      <c r="M59" s="17"/>
    </row>
    <row r="60" spans="1:13">
      <c r="A60">
        <v>58</v>
      </c>
      <c r="B60" t="str">
        <f>VLOOKUP(D60,'Roster Error'!$A$2:$H$15,3,FALSE)</f>
        <v>FROKOM Brillant</v>
      </c>
      <c r="C60" t="str">
        <f>VLOOKUP(D60,'Roster Error'!$A$2:$H$15,2,FALSE)</f>
        <v>CAR2101282</v>
      </c>
      <c r="D60" s="3">
        <v>79</v>
      </c>
      <c r="E60" t="s">
        <v>197</v>
      </c>
      <c r="F60" s="3">
        <f>VLOOKUP(D60,'Roster Error'!$A$2:$H$15,4,FALSE)</f>
        <v>45</v>
      </c>
      <c r="G60" s="3" t="str">
        <f>VLOOKUP(D60,'Roster Error'!$A$2:$H$15,5,FALSE)</f>
        <v>Female</v>
      </c>
      <c r="H60" s="3" t="str">
        <f>VLOOKUP(D60,'Roster Error'!$A$2:$H$15,6,FALSE)</f>
        <v>Widowed</v>
      </c>
      <c r="I60" s="3" t="str">
        <f>VLOOKUP(D60,'Roster Error'!$A$2:$H$15,7,FALSE)</f>
        <v>Female</v>
      </c>
      <c r="J60" s="3" t="str">
        <f>VLOOKUP(D60,'Roster Error'!$A$2:$H$15,8,FALSE)</f>
        <v>No</v>
      </c>
      <c r="K60" s="3">
        <v>452</v>
      </c>
      <c r="L60" s="42"/>
      <c r="M60" s="17"/>
    </row>
    <row r="61" spans="1:13">
      <c r="A61">
        <v>59</v>
      </c>
      <c r="B61" t="str">
        <f>VLOOKUP(D61,'Roster Error'!$A$2:$H$15,3,FALSE)</f>
        <v>FROKOM Brillant</v>
      </c>
      <c r="C61" t="str">
        <f>VLOOKUP(D61,'Roster Error'!$A$2:$H$15,2,FALSE)</f>
        <v>CAR2101282</v>
      </c>
      <c r="D61" s="3">
        <v>79</v>
      </c>
      <c r="E61" t="s">
        <v>200</v>
      </c>
      <c r="F61" s="3">
        <f>VLOOKUP(D61,'Roster Error'!$A$2:$H$15,4,FALSE)</f>
        <v>45</v>
      </c>
      <c r="G61" s="3" t="str">
        <f>VLOOKUP(D61,'Roster Error'!$A$2:$H$15,5,FALSE)</f>
        <v>Female</v>
      </c>
      <c r="H61" s="3" t="str">
        <f>VLOOKUP(D61,'Roster Error'!$A$2:$H$15,6,FALSE)</f>
        <v>Widowed</v>
      </c>
      <c r="I61" s="3" t="str">
        <f>VLOOKUP(D61,'Roster Error'!$A$2:$H$15,7,FALSE)</f>
        <v>Female</v>
      </c>
      <c r="J61" s="3" t="str">
        <f>VLOOKUP(D61,'Roster Error'!$A$2:$H$15,8,FALSE)</f>
        <v>No</v>
      </c>
      <c r="K61" s="3">
        <v>453</v>
      </c>
      <c r="L61" s="42"/>
      <c r="M61" s="17"/>
    </row>
    <row r="62" spans="1:13">
      <c r="A62">
        <v>60</v>
      </c>
      <c r="B62" t="str">
        <f>VLOOKUP(D62,'Roster Error'!$A$2:$H$15,3,FALSE)</f>
        <v>FROKOM Brillant</v>
      </c>
      <c r="C62" t="str">
        <f>VLOOKUP(D62,'Roster Error'!$A$2:$H$15,2,FALSE)</f>
        <v>CAR2101282</v>
      </c>
      <c r="D62" s="3">
        <v>79</v>
      </c>
      <c r="E62" t="s">
        <v>200</v>
      </c>
      <c r="F62" s="3">
        <f>VLOOKUP(D62,'Roster Error'!$A$2:$H$15,4,FALSE)</f>
        <v>45</v>
      </c>
      <c r="G62" s="3" t="str">
        <f>VLOOKUP(D62,'Roster Error'!$A$2:$H$15,5,FALSE)</f>
        <v>Female</v>
      </c>
      <c r="H62" s="3" t="str">
        <f>VLOOKUP(D62,'Roster Error'!$A$2:$H$15,6,FALSE)</f>
        <v>Widowed</v>
      </c>
      <c r="I62" s="3" t="str">
        <f>VLOOKUP(D62,'Roster Error'!$A$2:$H$15,7,FALSE)</f>
        <v>Female</v>
      </c>
      <c r="J62" s="3" t="str">
        <f>VLOOKUP(D62,'Roster Error'!$A$2:$H$15,8,FALSE)</f>
        <v>No</v>
      </c>
      <c r="K62" s="3">
        <v>454</v>
      </c>
      <c r="L62" s="42"/>
      <c r="M62" s="17"/>
    </row>
    <row r="63" spans="1:13">
      <c r="A63">
        <v>61</v>
      </c>
      <c r="B63" t="str">
        <f>VLOOKUP(D63,'Roster Error'!$A$2:$H$15,3,FALSE)</f>
        <v>FROKOM Brillant</v>
      </c>
      <c r="C63" t="str">
        <f>VLOOKUP(D63,'Roster Error'!$A$2:$H$15,2,FALSE)</f>
        <v>CAR2101282</v>
      </c>
      <c r="D63" s="3">
        <v>79</v>
      </c>
      <c r="E63" t="s">
        <v>199</v>
      </c>
      <c r="F63" s="3">
        <f>VLOOKUP(D63,'Roster Error'!$A$2:$H$15,4,FALSE)</f>
        <v>45</v>
      </c>
      <c r="G63" s="3" t="str">
        <f>VLOOKUP(D63,'Roster Error'!$A$2:$H$15,5,FALSE)</f>
        <v>Female</v>
      </c>
      <c r="H63" s="3" t="str">
        <f>VLOOKUP(D63,'Roster Error'!$A$2:$H$15,6,FALSE)</f>
        <v>Widowed</v>
      </c>
      <c r="I63" s="3" t="str">
        <f>VLOOKUP(D63,'Roster Error'!$A$2:$H$15,7,FALSE)</f>
        <v>Female</v>
      </c>
      <c r="J63" s="3" t="str">
        <f>VLOOKUP(D63,'Roster Error'!$A$2:$H$15,8,FALSE)</f>
        <v>No</v>
      </c>
      <c r="K63" s="3">
        <v>455</v>
      </c>
      <c r="L63" s="42"/>
      <c r="M63" s="17"/>
    </row>
    <row r="64" spans="1:13">
      <c r="A64">
        <v>62</v>
      </c>
      <c r="B64" t="str">
        <f>VLOOKUP(D64,'Roster Error'!$A$2:$H$15,3,FALSE)</f>
        <v>FROKOM Brillant</v>
      </c>
      <c r="C64" t="str">
        <f>VLOOKUP(D64,'Roster Error'!$A$2:$H$15,2,FALSE)</f>
        <v>CAR2101282</v>
      </c>
      <c r="D64" s="3">
        <v>79</v>
      </c>
      <c r="E64" t="s">
        <v>200</v>
      </c>
      <c r="F64" s="3">
        <f>VLOOKUP(D64,'Roster Error'!$A$2:$H$15,4,FALSE)</f>
        <v>45</v>
      </c>
      <c r="G64" s="3" t="str">
        <f>VLOOKUP(D64,'Roster Error'!$A$2:$H$15,5,FALSE)</f>
        <v>Female</v>
      </c>
      <c r="H64" s="3" t="str">
        <f>VLOOKUP(D64,'Roster Error'!$A$2:$H$15,6,FALSE)</f>
        <v>Widowed</v>
      </c>
      <c r="I64" s="3" t="str">
        <f>VLOOKUP(D64,'Roster Error'!$A$2:$H$15,7,FALSE)</f>
        <v>Female</v>
      </c>
      <c r="J64" s="3" t="str">
        <f>VLOOKUP(D64,'Roster Error'!$A$2:$H$15,8,FALSE)</f>
        <v>No</v>
      </c>
      <c r="K64" s="3">
        <v>456</v>
      </c>
      <c r="L64" s="42"/>
      <c r="M64" s="17"/>
    </row>
    <row r="65" spans="1:13">
      <c r="A65">
        <v>63</v>
      </c>
      <c r="B65" t="str">
        <f>VLOOKUP(D65,'Roster Error'!$A$2:$H$15,3,FALSE)</f>
        <v>FROKOM Brillant</v>
      </c>
      <c r="C65" t="str">
        <f>VLOOKUP(D65,'Roster Error'!$A$2:$H$15,2,FALSE)</f>
        <v>CAR2101282</v>
      </c>
      <c r="D65" s="3">
        <v>79</v>
      </c>
      <c r="E65" t="s">
        <v>200</v>
      </c>
      <c r="F65" s="3">
        <f>VLOOKUP(D65,'Roster Error'!$A$2:$H$15,4,FALSE)</f>
        <v>45</v>
      </c>
      <c r="G65" s="3" t="str">
        <f>VLOOKUP(D65,'Roster Error'!$A$2:$H$15,5,FALSE)</f>
        <v>Female</v>
      </c>
      <c r="H65" s="3" t="str">
        <f>VLOOKUP(D65,'Roster Error'!$A$2:$H$15,6,FALSE)</f>
        <v>Widowed</v>
      </c>
      <c r="I65" s="3" t="str">
        <f>VLOOKUP(D65,'Roster Error'!$A$2:$H$15,7,FALSE)</f>
        <v>Female</v>
      </c>
      <c r="J65" s="3" t="str">
        <f>VLOOKUP(D65,'Roster Error'!$A$2:$H$15,8,FALSE)</f>
        <v>No</v>
      </c>
      <c r="K65" s="3">
        <v>457</v>
      </c>
      <c r="L65" s="42"/>
      <c r="M65" s="17"/>
    </row>
    <row r="66" spans="1:13">
      <c r="A66">
        <v>64</v>
      </c>
      <c r="B66" t="str">
        <f>VLOOKUP(D66,'Roster Error'!$A$2:$H$15,3,FALSE)</f>
        <v>FROKOM Brillant</v>
      </c>
      <c r="C66" t="str">
        <f>VLOOKUP(D66,'Roster Error'!$A$2:$H$15,2,FALSE)</f>
        <v>CAR2101282</v>
      </c>
      <c r="D66" s="3">
        <v>79</v>
      </c>
      <c r="E66" t="s">
        <v>199</v>
      </c>
      <c r="F66" s="3">
        <f>VLOOKUP(D66,'Roster Error'!$A$2:$H$15,4,FALSE)</f>
        <v>45</v>
      </c>
      <c r="G66" s="3" t="str">
        <f>VLOOKUP(D66,'Roster Error'!$A$2:$H$15,5,FALSE)</f>
        <v>Female</v>
      </c>
      <c r="H66" s="3" t="str">
        <f>VLOOKUP(D66,'Roster Error'!$A$2:$H$15,6,FALSE)</f>
        <v>Widowed</v>
      </c>
      <c r="I66" s="3" t="str">
        <f>VLOOKUP(D66,'Roster Error'!$A$2:$H$15,7,FALSE)</f>
        <v>Female</v>
      </c>
      <c r="J66" s="3" t="str">
        <f>VLOOKUP(D66,'Roster Error'!$A$2:$H$15,8,FALSE)</f>
        <v>No</v>
      </c>
      <c r="K66" s="3">
        <v>458</v>
      </c>
      <c r="L66" s="42"/>
      <c r="M66" s="17"/>
    </row>
    <row r="67" spans="1:13">
      <c r="A67">
        <v>65</v>
      </c>
      <c r="B67" t="str">
        <f>VLOOKUP(D67,'Roster Error'!$A$2:$H$15,3,FALSE)</f>
        <v>FROKOM Brillant</v>
      </c>
      <c r="C67" t="str">
        <f>VLOOKUP(D67,'Roster Error'!$A$2:$H$15,2,FALSE)</f>
        <v>CAR2101282</v>
      </c>
      <c r="D67" s="3">
        <v>79</v>
      </c>
      <c r="E67" t="s">
        <v>200</v>
      </c>
      <c r="F67" s="3">
        <f>VLOOKUP(D67,'Roster Error'!$A$2:$H$15,4,FALSE)</f>
        <v>45</v>
      </c>
      <c r="G67" s="3" t="str">
        <f>VLOOKUP(D67,'Roster Error'!$A$2:$H$15,5,FALSE)</f>
        <v>Female</v>
      </c>
      <c r="H67" s="3" t="str">
        <f>VLOOKUP(D67,'Roster Error'!$A$2:$H$15,6,FALSE)</f>
        <v>Widowed</v>
      </c>
      <c r="I67" s="3" t="str">
        <f>VLOOKUP(D67,'Roster Error'!$A$2:$H$15,7,FALSE)</f>
        <v>Female</v>
      </c>
      <c r="J67" s="3" t="str">
        <f>VLOOKUP(D67,'Roster Error'!$A$2:$H$15,8,FALSE)</f>
        <v>No</v>
      </c>
      <c r="K67" s="3">
        <v>459</v>
      </c>
      <c r="L67" s="42"/>
      <c r="M67" s="17"/>
    </row>
    <row r="68" spans="1:13">
      <c r="A68">
        <v>66</v>
      </c>
      <c r="B68" t="str">
        <f>VLOOKUP(D68,'Roster Error'!$A$2:$H$15,3,FALSE)</f>
        <v>FROKOM Brillant</v>
      </c>
      <c r="C68" t="str">
        <f>VLOOKUP(D68,'Roster Error'!$A$2:$H$15,2,FALSE)</f>
        <v>CAR2101282</v>
      </c>
      <c r="D68" s="3">
        <v>79</v>
      </c>
      <c r="E68" t="s">
        <v>200</v>
      </c>
      <c r="F68" s="3">
        <f>VLOOKUP(D68,'Roster Error'!$A$2:$H$15,4,FALSE)</f>
        <v>45</v>
      </c>
      <c r="G68" s="3" t="str">
        <f>VLOOKUP(D68,'Roster Error'!$A$2:$H$15,5,FALSE)</f>
        <v>Female</v>
      </c>
      <c r="H68" s="3" t="str">
        <f>VLOOKUP(D68,'Roster Error'!$A$2:$H$15,6,FALSE)</f>
        <v>Widowed</v>
      </c>
      <c r="I68" s="3" t="str">
        <f>VLOOKUP(D68,'Roster Error'!$A$2:$H$15,7,FALSE)</f>
        <v>Female</v>
      </c>
      <c r="J68" s="3" t="str">
        <f>VLOOKUP(D68,'Roster Error'!$A$2:$H$15,8,FALSE)</f>
        <v>No</v>
      </c>
      <c r="K68" s="3">
        <v>460</v>
      </c>
      <c r="L68" s="42"/>
      <c r="M68" s="17"/>
    </row>
    <row r="69" spans="1:13">
      <c r="A69">
        <v>67</v>
      </c>
      <c r="B69" t="str">
        <f>VLOOKUP(D69,'Roster Error'!$A$2:$H$15,3,FALSE)</f>
        <v>FROKOM Brillant</v>
      </c>
      <c r="C69" t="str">
        <f>VLOOKUP(D69,'Roster Error'!$A$2:$H$15,2,FALSE)</f>
        <v>CAR2101282</v>
      </c>
      <c r="D69" s="3">
        <v>79</v>
      </c>
      <c r="E69" t="s">
        <v>200</v>
      </c>
      <c r="F69" s="3">
        <f>VLOOKUP(D69,'Roster Error'!$A$2:$H$15,4,FALSE)</f>
        <v>45</v>
      </c>
      <c r="G69" s="3" t="str">
        <f>VLOOKUP(D69,'Roster Error'!$A$2:$H$15,5,FALSE)</f>
        <v>Female</v>
      </c>
      <c r="H69" s="3" t="str">
        <f>VLOOKUP(D69,'Roster Error'!$A$2:$H$15,6,FALSE)</f>
        <v>Widowed</v>
      </c>
      <c r="I69" s="3" t="str">
        <f>VLOOKUP(D69,'Roster Error'!$A$2:$H$15,7,FALSE)</f>
        <v>Female</v>
      </c>
      <c r="J69" s="3" t="str">
        <f>VLOOKUP(D69,'Roster Error'!$A$2:$H$15,8,FALSE)</f>
        <v>No</v>
      </c>
      <c r="K69" s="3">
        <v>461</v>
      </c>
      <c r="L69" s="42"/>
      <c r="M69" s="17"/>
    </row>
    <row r="70" spans="1:13">
      <c r="A70">
        <v>68</v>
      </c>
      <c r="B70" t="str">
        <f>VLOOKUP(D70,'Roster Error'!$A$2:$H$15,3,FALSE)</f>
        <v>FROKOM Brillant</v>
      </c>
      <c r="C70" t="str">
        <f>VLOOKUP(D70,'Roster Error'!$A$2:$H$15,2,FALSE)</f>
        <v>CAR2101282</v>
      </c>
      <c r="D70" s="3">
        <v>79</v>
      </c>
      <c r="E70" t="s">
        <v>200</v>
      </c>
      <c r="F70" s="3">
        <f>VLOOKUP(D70,'Roster Error'!$A$2:$H$15,4,FALSE)</f>
        <v>45</v>
      </c>
      <c r="G70" s="3" t="str">
        <f>VLOOKUP(D70,'Roster Error'!$A$2:$H$15,5,FALSE)</f>
        <v>Female</v>
      </c>
      <c r="H70" s="3" t="str">
        <f>VLOOKUP(D70,'Roster Error'!$A$2:$H$15,6,FALSE)</f>
        <v>Widowed</v>
      </c>
      <c r="I70" s="3" t="str">
        <f>VLOOKUP(D70,'Roster Error'!$A$2:$H$15,7,FALSE)</f>
        <v>Female</v>
      </c>
      <c r="J70" s="3" t="str">
        <f>VLOOKUP(D70,'Roster Error'!$A$2:$H$15,8,FALSE)</f>
        <v>No</v>
      </c>
      <c r="K70" s="3">
        <v>462</v>
      </c>
      <c r="L70" s="42"/>
      <c r="M70" s="17"/>
    </row>
    <row r="71" spans="1:13">
      <c r="A71">
        <v>69</v>
      </c>
      <c r="B71" t="str">
        <f>VLOOKUP(D71,'Roster Error'!$A$2:$H$15,3,FALSE)</f>
        <v>FROKOM Brillant</v>
      </c>
      <c r="C71" t="str">
        <f>VLOOKUP(D71,'Roster Error'!$A$2:$H$15,2,FALSE)</f>
        <v>CAR2101282</v>
      </c>
      <c r="D71" s="3">
        <v>79</v>
      </c>
      <c r="E71" t="s">
        <v>200</v>
      </c>
      <c r="F71" s="3">
        <f>VLOOKUP(D71,'Roster Error'!$A$2:$H$15,4,FALSE)</f>
        <v>45</v>
      </c>
      <c r="G71" s="3" t="str">
        <f>VLOOKUP(D71,'Roster Error'!$A$2:$H$15,5,FALSE)</f>
        <v>Female</v>
      </c>
      <c r="H71" s="3" t="str">
        <f>VLOOKUP(D71,'Roster Error'!$A$2:$H$15,6,FALSE)</f>
        <v>Widowed</v>
      </c>
      <c r="I71" s="3" t="str">
        <f>VLOOKUP(D71,'Roster Error'!$A$2:$H$15,7,FALSE)</f>
        <v>Female</v>
      </c>
      <c r="J71" s="3" t="str">
        <f>VLOOKUP(D71,'Roster Error'!$A$2:$H$15,8,FALSE)</f>
        <v>No</v>
      </c>
      <c r="K71" s="3">
        <v>463</v>
      </c>
      <c r="L71" s="42"/>
      <c r="M71" s="17"/>
    </row>
    <row r="72" spans="1:13">
      <c r="A72">
        <v>70</v>
      </c>
      <c r="B72" t="str">
        <f>VLOOKUP(D72,'Roster Error'!$A$2:$H$15,3,FALSE)</f>
        <v>FROKOM Brillant</v>
      </c>
      <c r="C72" t="str">
        <f>VLOOKUP(D72,'Roster Error'!$A$2:$H$15,2,FALSE)</f>
        <v>CAR2101263</v>
      </c>
      <c r="D72" s="3">
        <v>84</v>
      </c>
      <c r="E72" t="s">
        <v>197</v>
      </c>
      <c r="F72" s="3">
        <f>VLOOKUP(D72,'Roster Error'!$A$2:$H$15,4,FALSE)</f>
        <v>30</v>
      </c>
      <c r="G72" s="3" t="str">
        <f>VLOOKUP(D72,'Roster Error'!$A$2:$H$15,5,FALSE)</f>
        <v>Female</v>
      </c>
      <c r="H72" s="3" t="str">
        <f>VLOOKUP(D72,'Roster Error'!$A$2:$H$15,6,FALSE)</f>
        <v>Widowed</v>
      </c>
      <c r="I72" s="3" t="str">
        <f>VLOOKUP(D72,'Roster Error'!$A$2:$H$15,7,FALSE)</f>
        <v>Female</v>
      </c>
      <c r="J72" s="3" t="str">
        <f>VLOOKUP(D72,'Roster Error'!$A$2:$H$15,8,FALSE)</f>
        <v>No</v>
      </c>
      <c r="K72" s="3">
        <v>488</v>
      </c>
      <c r="L72" s="42"/>
      <c r="M72" s="17"/>
    </row>
    <row r="73" spans="1:13">
      <c r="A73">
        <v>71</v>
      </c>
      <c r="B73" t="str">
        <f>VLOOKUP(D73,'Roster Error'!$A$2:$H$15,3,FALSE)</f>
        <v>FROKOM Brillant</v>
      </c>
      <c r="C73" t="str">
        <f>VLOOKUP(D73,'Roster Error'!$A$2:$H$15,2,FALSE)</f>
        <v>CAR2101263</v>
      </c>
      <c r="D73" s="3">
        <v>84</v>
      </c>
      <c r="E73" t="s">
        <v>198</v>
      </c>
      <c r="F73" s="3">
        <f>VLOOKUP(D73,'Roster Error'!$A$2:$H$15,4,FALSE)</f>
        <v>30</v>
      </c>
      <c r="G73" s="3" t="str">
        <f>VLOOKUP(D73,'Roster Error'!$A$2:$H$15,5,FALSE)</f>
        <v>Female</v>
      </c>
      <c r="H73" s="3" t="str">
        <f>VLOOKUP(D73,'Roster Error'!$A$2:$H$15,6,FALSE)</f>
        <v>Widowed</v>
      </c>
      <c r="I73" s="3" t="str">
        <f>VLOOKUP(D73,'Roster Error'!$A$2:$H$15,7,FALSE)</f>
        <v>Female</v>
      </c>
      <c r="J73" s="3" t="str">
        <f>VLOOKUP(D73,'Roster Error'!$A$2:$H$15,8,FALSE)</f>
        <v>No</v>
      </c>
      <c r="K73" s="3">
        <v>492</v>
      </c>
      <c r="L73" s="42"/>
      <c r="M73" s="17"/>
    </row>
    <row r="74" spans="1:13">
      <c r="A74">
        <v>72</v>
      </c>
      <c r="B74" t="str">
        <f>VLOOKUP(D74,'Roster Error'!$A$2:$H$15,3,FALSE)</f>
        <v>FROKOM Brillant</v>
      </c>
      <c r="C74" t="str">
        <f>VLOOKUP(D74,'Roster Error'!$A$2:$H$15,2,FALSE)</f>
        <v>CAR210405</v>
      </c>
      <c r="D74" s="3">
        <v>86</v>
      </c>
      <c r="E74" t="s">
        <v>197</v>
      </c>
      <c r="F74" s="3">
        <f>VLOOKUP(D74,'Roster Error'!$A$2:$H$15,4,FALSE)</f>
        <v>53</v>
      </c>
      <c r="G74" s="3" t="str">
        <f>VLOOKUP(D74,'Roster Error'!$A$2:$H$15,5,FALSE)</f>
        <v>Female</v>
      </c>
      <c r="H74" s="3" t="str">
        <f>VLOOKUP(D74,'Roster Error'!$A$2:$H$15,6,FALSE)</f>
        <v>Cohabitating</v>
      </c>
      <c r="I74" s="3" t="str">
        <f>VLOOKUP(D74,'Roster Error'!$A$2:$H$15,7,FALSE)</f>
        <v>Male</v>
      </c>
      <c r="J74" s="3" t="str">
        <f>VLOOKUP(D74,'Roster Error'!$A$2:$H$15,8,FALSE)</f>
        <v>No</v>
      </c>
      <c r="K74" s="3">
        <v>498</v>
      </c>
      <c r="L74" s="42"/>
      <c r="M74" s="17"/>
    </row>
    <row r="75" spans="1:13">
      <c r="A75">
        <v>73</v>
      </c>
      <c r="B75" t="str">
        <f>VLOOKUP(D75,'Roster Error'!$A$2:$H$15,3,FALSE)</f>
        <v>FROKOM Brillant</v>
      </c>
      <c r="C75" t="str">
        <f>VLOOKUP(D75,'Roster Error'!$A$2:$H$15,2,FALSE)</f>
        <v>CAR210405</v>
      </c>
      <c r="D75" s="3">
        <v>86</v>
      </c>
      <c r="E75" t="s">
        <v>197</v>
      </c>
      <c r="F75" s="3">
        <f>VLOOKUP(D75,'Roster Error'!$A$2:$H$15,4,FALSE)</f>
        <v>53</v>
      </c>
      <c r="G75" s="3" t="str">
        <f>VLOOKUP(D75,'Roster Error'!$A$2:$H$15,5,FALSE)</f>
        <v>Female</v>
      </c>
      <c r="H75" s="3" t="str">
        <f>VLOOKUP(D75,'Roster Error'!$A$2:$H$15,6,FALSE)</f>
        <v>Cohabitating</v>
      </c>
      <c r="I75" s="3" t="str">
        <f>VLOOKUP(D75,'Roster Error'!$A$2:$H$15,7,FALSE)</f>
        <v>Male</v>
      </c>
      <c r="J75" s="3" t="str">
        <f>VLOOKUP(D75,'Roster Error'!$A$2:$H$15,8,FALSE)</f>
        <v>No</v>
      </c>
      <c r="K75" s="3">
        <v>510</v>
      </c>
      <c r="L75" s="42"/>
      <c r="M75" s="17"/>
    </row>
    <row r="76" spans="1:13">
      <c r="A76">
        <v>74</v>
      </c>
      <c r="B76" t="str">
        <f>VLOOKUP(D76,'Roster Error'!$A$2:$H$15,3,FALSE)</f>
        <v>FROKOM Brillant</v>
      </c>
      <c r="C76" t="str">
        <f>VLOOKUP(D76,'Roster Error'!$A$2:$H$15,2,FALSE)</f>
        <v>CAR210405</v>
      </c>
      <c r="D76" s="3">
        <v>86</v>
      </c>
      <c r="E76" t="s">
        <v>197</v>
      </c>
      <c r="F76" s="3">
        <f>VLOOKUP(D76,'Roster Error'!$A$2:$H$15,4,FALSE)</f>
        <v>53</v>
      </c>
      <c r="G76" s="3" t="str">
        <f>VLOOKUP(D76,'Roster Error'!$A$2:$H$15,5,FALSE)</f>
        <v>Female</v>
      </c>
      <c r="H76" s="3" t="str">
        <f>VLOOKUP(D76,'Roster Error'!$A$2:$H$15,6,FALSE)</f>
        <v>Cohabitating</v>
      </c>
      <c r="I76" s="3" t="str">
        <f>VLOOKUP(D76,'Roster Error'!$A$2:$H$15,7,FALSE)</f>
        <v>Male</v>
      </c>
      <c r="J76" s="3" t="str">
        <f>VLOOKUP(D76,'Roster Error'!$A$2:$H$15,8,FALSE)</f>
        <v>No</v>
      </c>
      <c r="K76" s="3">
        <v>511</v>
      </c>
      <c r="L76" s="42"/>
      <c r="M76" s="17"/>
    </row>
    <row r="77" spans="1:13">
      <c r="A77">
        <v>75</v>
      </c>
      <c r="B77" t="str">
        <f>VLOOKUP(D77,'Roster Error'!$A$2:$H$15,3,FALSE)</f>
        <v>FROKOM Brillant</v>
      </c>
      <c r="C77" t="str">
        <f>VLOOKUP(D77,'Roster Error'!$A$2:$H$15,2,FALSE)</f>
        <v>CAR210405</v>
      </c>
      <c r="D77" s="3">
        <v>86</v>
      </c>
      <c r="E77" t="s">
        <v>197</v>
      </c>
      <c r="F77" s="3">
        <f>VLOOKUP(D77,'Roster Error'!$A$2:$H$15,4,FALSE)</f>
        <v>53</v>
      </c>
      <c r="G77" s="3" t="str">
        <f>VLOOKUP(D77,'Roster Error'!$A$2:$H$15,5,FALSE)</f>
        <v>Female</v>
      </c>
      <c r="H77" s="3" t="str">
        <f>VLOOKUP(D77,'Roster Error'!$A$2:$H$15,6,FALSE)</f>
        <v>Cohabitating</v>
      </c>
      <c r="I77" s="3" t="str">
        <f>VLOOKUP(D77,'Roster Error'!$A$2:$H$15,7,FALSE)</f>
        <v>Male</v>
      </c>
      <c r="J77" s="3" t="str">
        <f>VLOOKUP(D77,'Roster Error'!$A$2:$H$15,8,FALSE)</f>
        <v>No</v>
      </c>
      <c r="K77" s="3">
        <v>512</v>
      </c>
      <c r="L77" s="42"/>
      <c r="M77" s="17"/>
    </row>
    <row r="78" spans="1:13">
      <c r="A78">
        <v>76</v>
      </c>
      <c r="B78" t="str">
        <f>VLOOKUP(D78,'Roster Error'!$A$2:$H$15,3,FALSE)</f>
        <v>FROKOM Brillant</v>
      </c>
      <c r="C78" t="str">
        <f>VLOOKUP(D78,'Roster Error'!$A$2:$H$15,2,FALSE)</f>
        <v>CAR210405</v>
      </c>
      <c r="D78" s="3">
        <v>86</v>
      </c>
      <c r="E78" t="s">
        <v>197</v>
      </c>
      <c r="F78" s="3">
        <f>VLOOKUP(D78,'Roster Error'!$A$2:$H$15,4,FALSE)</f>
        <v>53</v>
      </c>
      <c r="G78" s="3" t="str">
        <f>VLOOKUP(D78,'Roster Error'!$A$2:$H$15,5,FALSE)</f>
        <v>Female</v>
      </c>
      <c r="H78" s="3" t="str">
        <f>VLOOKUP(D78,'Roster Error'!$A$2:$H$15,6,FALSE)</f>
        <v>Cohabitating</v>
      </c>
      <c r="I78" s="3" t="str">
        <f>VLOOKUP(D78,'Roster Error'!$A$2:$H$15,7,FALSE)</f>
        <v>Male</v>
      </c>
      <c r="J78" s="3" t="str">
        <f>VLOOKUP(D78,'Roster Error'!$A$2:$H$15,8,FALSE)</f>
        <v>No</v>
      </c>
      <c r="K78" s="3">
        <v>513</v>
      </c>
      <c r="L78" s="42"/>
      <c r="M78" s="17"/>
    </row>
    <row r="79" spans="1:13">
      <c r="A79">
        <v>77</v>
      </c>
      <c r="B79" t="str">
        <f>VLOOKUP(D79,'Roster Error'!$A$2:$H$15,3,FALSE)</f>
        <v>FROKOM Brillant</v>
      </c>
      <c r="C79" t="str">
        <f>VLOOKUP(D79,'Roster Error'!$A$2:$H$15,2,FALSE)</f>
        <v>CAR210405</v>
      </c>
      <c r="D79" s="3">
        <v>86</v>
      </c>
      <c r="E79" t="s">
        <v>197</v>
      </c>
      <c r="F79" s="3">
        <f>VLOOKUP(D79,'Roster Error'!$A$2:$H$15,4,FALSE)</f>
        <v>53</v>
      </c>
      <c r="G79" s="3" t="str">
        <f>VLOOKUP(D79,'Roster Error'!$A$2:$H$15,5,FALSE)</f>
        <v>Female</v>
      </c>
      <c r="H79" s="3" t="str">
        <f>VLOOKUP(D79,'Roster Error'!$A$2:$H$15,6,FALSE)</f>
        <v>Cohabitating</v>
      </c>
      <c r="I79" s="3" t="str">
        <f>VLOOKUP(D79,'Roster Error'!$A$2:$H$15,7,FALSE)</f>
        <v>Male</v>
      </c>
      <c r="J79" s="3" t="str">
        <f>VLOOKUP(D79,'Roster Error'!$A$2:$H$15,8,FALSE)</f>
        <v>No</v>
      </c>
      <c r="K79" s="3">
        <v>514</v>
      </c>
      <c r="L79" s="42"/>
      <c r="M79" s="17"/>
    </row>
    <row r="80" spans="1:13">
      <c r="A80">
        <v>78</v>
      </c>
      <c r="B80" t="str">
        <f>VLOOKUP(D80,'Roster Error'!$A$2:$H$15,3,FALSE)</f>
        <v>FROKOM Brillant</v>
      </c>
      <c r="C80" t="str">
        <f>VLOOKUP(D80,'Roster Error'!$A$2:$H$15,2,FALSE)</f>
        <v>CAR210405</v>
      </c>
      <c r="D80" s="3">
        <v>86</v>
      </c>
      <c r="E80" t="s">
        <v>197</v>
      </c>
      <c r="F80" s="3">
        <f>VLOOKUP(D80,'Roster Error'!$A$2:$H$15,4,FALSE)</f>
        <v>53</v>
      </c>
      <c r="G80" s="3" t="str">
        <f>VLOOKUP(D80,'Roster Error'!$A$2:$H$15,5,FALSE)</f>
        <v>Female</v>
      </c>
      <c r="H80" s="3" t="str">
        <f>VLOOKUP(D80,'Roster Error'!$A$2:$H$15,6,FALSE)</f>
        <v>Cohabitating</v>
      </c>
      <c r="I80" s="3" t="str">
        <f>VLOOKUP(D80,'Roster Error'!$A$2:$H$15,7,FALSE)</f>
        <v>Male</v>
      </c>
      <c r="J80" s="3" t="str">
        <f>VLOOKUP(D80,'Roster Error'!$A$2:$H$15,8,FALSE)</f>
        <v>No</v>
      </c>
      <c r="K80" s="3">
        <v>515</v>
      </c>
      <c r="L80" s="42"/>
      <c r="M80" s="17"/>
    </row>
    <row r="81" spans="1:13">
      <c r="A81">
        <v>79</v>
      </c>
      <c r="B81" t="str">
        <f>VLOOKUP(D81,'Roster Error'!$A$2:$H$15,3,FALSE)</f>
        <v>FROKOM Brillant</v>
      </c>
      <c r="C81" t="str">
        <f>VLOOKUP(D81,'Roster Error'!$A$2:$H$15,2,FALSE)</f>
        <v>CAR2101295</v>
      </c>
      <c r="D81" s="3">
        <v>88</v>
      </c>
      <c r="E81" t="s">
        <v>197</v>
      </c>
      <c r="F81" s="3">
        <f>VLOOKUP(D81,'Roster Error'!$A$2:$H$15,4,FALSE)</f>
        <v>49</v>
      </c>
      <c r="G81" s="3" t="str">
        <f>VLOOKUP(D81,'Roster Error'!$A$2:$H$15,5,FALSE)</f>
        <v>Male</v>
      </c>
      <c r="H81" s="3" t="str">
        <f>VLOOKUP(D81,'Roster Error'!$A$2:$H$15,6,FALSE)</f>
        <v>Cohabitating</v>
      </c>
      <c r="I81" s="3" t="str">
        <f>VLOOKUP(D81,'Roster Error'!$A$2:$H$15,7,FALSE)</f>
        <v>Male</v>
      </c>
      <c r="J81" s="3" t="str">
        <f>VLOOKUP(D81,'Roster Error'!$A$2:$H$15,8,FALSE)</f>
        <v>No</v>
      </c>
      <c r="K81" s="3">
        <v>521</v>
      </c>
      <c r="L81" s="42"/>
      <c r="M81" s="17"/>
    </row>
    <row r="82" spans="1:13">
      <c r="A82">
        <v>80</v>
      </c>
      <c r="B82" t="str">
        <f>VLOOKUP(D82,'Roster Error'!$A$2:$H$15,3,FALSE)</f>
        <v>FROKOM Brillant</v>
      </c>
      <c r="C82" t="str">
        <f>VLOOKUP(D82,'Roster Error'!$A$2:$H$15,2,FALSE)</f>
        <v>CAR2101295</v>
      </c>
      <c r="D82" s="3">
        <v>88</v>
      </c>
      <c r="E82" t="s">
        <v>200</v>
      </c>
      <c r="F82" s="3">
        <f>VLOOKUP(D82,'Roster Error'!$A$2:$H$15,4,FALSE)</f>
        <v>49</v>
      </c>
      <c r="G82" s="3" t="str">
        <f>VLOOKUP(D82,'Roster Error'!$A$2:$H$15,5,FALSE)</f>
        <v>Male</v>
      </c>
      <c r="H82" s="3" t="str">
        <f>VLOOKUP(D82,'Roster Error'!$A$2:$H$15,6,FALSE)</f>
        <v>Cohabitating</v>
      </c>
      <c r="I82" s="3" t="str">
        <f>VLOOKUP(D82,'Roster Error'!$A$2:$H$15,7,FALSE)</f>
        <v>Male</v>
      </c>
      <c r="J82" s="3" t="str">
        <f>VLOOKUP(D82,'Roster Error'!$A$2:$H$15,8,FALSE)</f>
        <v>No</v>
      </c>
      <c r="K82" s="3">
        <v>526</v>
      </c>
      <c r="L82" s="42"/>
      <c r="M82" s="17"/>
    </row>
    <row r="83" spans="1:13">
      <c r="A83">
        <v>81</v>
      </c>
      <c r="B83" t="s">
        <v>107</v>
      </c>
      <c r="C83" t="s">
        <v>201</v>
      </c>
      <c r="D83" s="3">
        <v>1</v>
      </c>
      <c r="E83" t="s">
        <v>195</v>
      </c>
      <c r="F83" s="3">
        <v>67</v>
      </c>
      <c r="G83" s="3" t="s">
        <v>73</v>
      </c>
      <c r="H83" s="3" t="s">
        <v>156</v>
      </c>
      <c r="I83" s="3" t="s">
        <v>83</v>
      </c>
      <c r="J83" s="3" t="s">
        <v>0</v>
      </c>
      <c r="K83" s="3">
        <v>1</v>
      </c>
      <c r="L83" s="42" t="s">
        <v>202</v>
      </c>
    </row>
    <row r="84" spans="1:13">
      <c r="A84">
        <v>82</v>
      </c>
      <c r="B84" t="s">
        <v>107</v>
      </c>
      <c r="C84" t="s">
        <v>203</v>
      </c>
      <c r="D84" s="3">
        <v>2</v>
      </c>
      <c r="E84" t="s">
        <v>200</v>
      </c>
      <c r="F84" s="3">
        <v>19</v>
      </c>
      <c r="G84" s="3" t="s">
        <v>73</v>
      </c>
      <c r="H84" s="3" t="s">
        <v>156</v>
      </c>
      <c r="I84" s="3" t="s">
        <v>73</v>
      </c>
      <c r="J84" s="3" t="s">
        <v>0</v>
      </c>
      <c r="K84" s="3">
        <v>8</v>
      </c>
      <c r="L84" s="42"/>
    </row>
    <row r="85" spans="1:13">
      <c r="A85">
        <v>83</v>
      </c>
      <c r="B85" t="s">
        <v>107</v>
      </c>
      <c r="C85" t="s">
        <v>204</v>
      </c>
      <c r="D85" s="3">
        <v>4</v>
      </c>
      <c r="E85" t="s">
        <v>195</v>
      </c>
      <c r="F85" s="3">
        <v>30</v>
      </c>
      <c r="G85" s="3" t="s">
        <v>73</v>
      </c>
      <c r="H85" s="3" t="s">
        <v>156</v>
      </c>
      <c r="I85" s="3" t="s">
        <v>83</v>
      </c>
      <c r="J85" s="3" t="s">
        <v>0</v>
      </c>
      <c r="K85" s="3">
        <v>25</v>
      </c>
      <c r="L85" s="42"/>
    </row>
    <row r="86" spans="1:13">
      <c r="A86">
        <v>84</v>
      </c>
      <c r="B86" t="s">
        <v>107</v>
      </c>
      <c r="C86" t="s">
        <v>205</v>
      </c>
      <c r="D86" s="3">
        <v>5</v>
      </c>
      <c r="E86" t="s">
        <v>197</v>
      </c>
      <c r="F86" s="3">
        <v>50</v>
      </c>
      <c r="G86" s="3" t="s">
        <v>83</v>
      </c>
      <c r="H86" s="3" t="s">
        <v>156</v>
      </c>
      <c r="I86" s="3" t="s">
        <v>83</v>
      </c>
      <c r="J86" s="3" t="s">
        <v>0</v>
      </c>
      <c r="K86" s="3">
        <v>30</v>
      </c>
      <c r="L86" s="42"/>
    </row>
    <row r="87" spans="1:13">
      <c r="A87">
        <v>85</v>
      </c>
      <c r="B87" t="s">
        <v>107</v>
      </c>
      <c r="C87" t="s">
        <v>206</v>
      </c>
      <c r="D87" s="3">
        <v>6</v>
      </c>
      <c r="E87" t="s">
        <v>197</v>
      </c>
      <c r="F87" s="3">
        <v>61</v>
      </c>
      <c r="G87" s="3" t="s">
        <v>73</v>
      </c>
      <c r="H87" s="3" t="s">
        <v>177</v>
      </c>
      <c r="I87" s="3" t="s">
        <v>73</v>
      </c>
      <c r="J87" s="3" t="s">
        <v>0</v>
      </c>
      <c r="K87" s="3">
        <v>35</v>
      </c>
      <c r="L87" s="42"/>
    </row>
    <row r="88" spans="1:13">
      <c r="A88">
        <v>86</v>
      </c>
      <c r="B88" t="s">
        <v>107</v>
      </c>
      <c r="C88" t="s">
        <v>207</v>
      </c>
      <c r="D88" s="3">
        <v>7</v>
      </c>
      <c r="E88" t="s">
        <v>197</v>
      </c>
      <c r="F88" s="3">
        <v>58</v>
      </c>
      <c r="G88" s="3" t="s">
        <v>83</v>
      </c>
      <c r="H88" s="3" t="s">
        <v>208</v>
      </c>
      <c r="I88" s="3" t="s">
        <v>83</v>
      </c>
      <c r="J88" s="3" t="s">
        <v>18</v>
      </c>
      <c r="K88" s="3">
        <v>40</v>
      </c>
      <c r="L88" s="42"/>
    </row>
    <row r="89" spans="1:13">
      <c r="A89">
        <v>87</v>
      </c>
      <c r="B89" t="s">
        <v>107</v>
      </c>
      <c r="C89" t="s">
        <v>209</v>
      </c>
      <c r="D89" s="3">
        <v>8</v>
      </c>
      <c r="E89" t="s">
        <v>197</v>
      </c>
      <c r="F89" s="3">
        <v>36</v>
      </c>
      <c r="G89" s="3" t="s">
        <v>83</v>
      </c>
      <c r="H89" s="3" t="s">
        <v>156</v>
      </c>
      <c r="I89" s="3" t="s">
        <v>83</v>
      </c>
      <c r="J89" s="3" t="s">
        <v>0</v>
      </c>
      <c r="K89" s="3">
        <v>46</v>
      </c>
      <c r="L89" s="42"/>
    </row>
    <row r="90" spans="1:13">
      <c r="A90">
        <v>88</v>
      </c>
      <c r="B90" t="s">
        <v>107</v>
      </c>
      <c r="C90" t="s">
        <v>123</v>
      </c>
      <c r="D90" s="3">
        <v>9</v>
      </c>
      <c r="E90" t="s">
        <v>197</v>
      </c>
      <c r="F90" s="3">
        <v>37</v>
      </c>
      <c r="G90" s="3" t="s">
        <v>83</v>
      </c>
      <c r="H90" s="3" t="s">
        <v>156</v>
      </c>
      <c r="I90" s="3" t="s">
        <v>83</v>
      </c>
      <c r="J90" s="3" t="s">
        <v>0</v>
      </c>
      <c r="K90" s="3">
        <v>53</v>
      </c>
      <c r="L90" s="42"/>
    </row>
    <row r="91" spans="1:13">
      <c r="A91">
        <v>89</v>
      </c>
      <c r="B91" t="s">
        <v>107</v>
      </c>
      <c r="C91" t="s">
        <v>127</v>
      </c>
      <c r="D91" s="3">
        <v>10</v>
      </c>
      <c r="E91" t="s">
        <v>195</v>
      </c>
      <c r="F91" s="3">
        <v>23</v>
      </c>
      <c r="G91" s="3" t="s">
        <v>73</v>
      </c>
      <c r="H91" s="3" t="s">
        <v>156</v>
      </c>
      <c r="I91" s="3" t="s">
        <v>83</v>
      </c>
      <c r="J91" s="3" t="s">
        <v>0</v>
      </c>
      <c r="K91" s="3">
        <v>60</v>
      </c>
      <c r="L91" s="42"/>
    </row>
    <row r="92" spans="1:13">
      <c r="A92">
        <v>90</v>
      </c>
      <c r="B92" t="s">
        <v>107</v>
      </c>
      <c r="C92" t="s">
        <v>210</v>
      </c>
      <c r="D92" s="3">
        <v>11</v>
      </c>
      <c r="E92" t="s">
        <v>197</v>
      </c>
      <c r="F92" s="3">
        <v>29</v>
      </c>
      <c r="G92" s="3" t="s">
        <v>83</v>
      </c>
      <c r="H92" s="3" t="s">
        <v>156</v>
      </c>
      <c r="I92" s="3" t="s">
        <v>83</v>
      </c>
      <c r="J92" s="3" t="s">
        <v>0</v>
      </c>
      <c r="K92" s="3">
        <v>65</v>
      </c>
      <c r="L92" s="42"/>
    </row>
    <row r="93" spans="1:13">
      <c r="A93">
        <v>91</v>
      </c>
      <c r="B93" t="s">
        <v>107</v>
      </c>
      <c r="C93" t="s">
        <v>211</v>
      </c>
      <c r="D93" s="3">
        <v>12</v>
      </c>
      <c r="E93" t="s">
        <v>197</v>
      </c>
      <c r="F93" s="3">
        <v>26</v>
      </c>
      <c r="G93" s="3" t="s">
        <v>83</v>
      </c>
      <c r="H93" s="3" t="s">
        <v>156</v>
      </c>
      <c r="I93" s="3" t="s">
        <v>83</v>
      </c>
      <c r="J93" s="3" t="s">
        <v>0</v>
      </c>
      <c r="K93" s="3">
        <v>69</v>
      </c>
      <c r="L93" s="42"/>
    </row>
    <row r="94" spans="1:13">
      <c r="A94">
        <v>92</v>
      </c>
      <c r="B94" t="s">
        <v>107</v>
      </c>
      <c r="C94" t="s">
        <v>212</v>
      </c>
      <c r="D94" s="3">
        <v>13</v>
      </c>
      <c r="E94" t="s">
        <v>195</v>
      </c>
      <c r="F94" s="3">
        <v>50</v>
      </c>
      <c r="G94" s="3" t="s">
        <v>73</v>
      </c>
      <c r="H94" s="3" t="s">
        <v>156</v>
      </c>
      <c r="I94" s="3" t="s">
        <v>83</v>
      </c>
      <c r="J94" s="3" t="s">
        <v>0</v>
      </c>
      <c r="K94" s="3">
        <v>73</v>
      </c>
      <c r="L94" s="42"/>
    </row>
    <row r="95" spans="1:13">
      <c r="A95">
        <v>93</v>
      </c>
      <c r="B95" t="s">
        <v>107</v>
      </c>
      <c r="C95" t="s">
        <v>213</v>
      </c>
      <c r="D95" s="3">
        <v>14</v>
      </c>
      <c r="E95" t="s">
        <v>195</v>
      </c>
      <c r="F95" s="3">
        <v>44</v>
      </c>
      <c r="G95" s="3" t="s">
        <v>73</v>
      </c>
      <c r="H95" s="3" t="s">
        <v>208</v>
      </c>
      <c r="I95" s="3" t="s">
        <v>83</v>
      </c>
      <c r="J95" s="3" t="s">
        <v>18</v>
      </c>
      <c r="K95" s="3">
        <v>77</v>
      </c>
      <c r="L95" s="42"/>
    </row>
    <row r="96" spans="1:13">
      <c r="A96">
        <v>94</v>
      </c>
      <c r="B96" t="s">
        <v>107</v>
      </c>
      <c r="C96" t="s">
        <v>214</v>
      </c>
      <c r="D96" s="3">
        <v>15</v>
      </c>
      <c r="E96" t="s">
        <v>195</v>
      </c>
      <c r="F96" s="3">
        <v>25</v>
      </c>
      <c r="G96" s="3" t="s">
        <v>73</v>
      </c>
      <c r="H96" s="3" t="s">
        <v>156</v>
      </c>
      <c r="I96" s="3" t="s">
        <v>83</v>
      </c>
      <c r="J96" s="3" t="s">
        <v>0</v>
      </c>
      <c r="K96" s="3">
        <v>84</v>
      </c>
      <c r="L96" s="42"/>
    </row>
    <row r="97" spans="1:12">
      <c r="A97">
        <v>95</v>
      </c>
      <c r="B97" t="s">
        <v>107</v>
      </c>
      <c r="C97" t="s">
        <v>215</v>
      </c>
      <c r="D97" s="3">
        <v>16</v>
      </c>
      <c r="E97" t="s">
        <v>195</v>
      </c>
      <c r="F97" s="3">
        <v>43</v>
      </c>
      <c r="G97" s="3" t="s">
        <v>73</v>
      </c>
      <c r="H97" s="3" t="s">
        <v>156</v>
      </c>
      <c r="I97" s="3" t="s">
        <v>83</v>
      </c>
      <c r="J97" s="3" t="s">
        <v>0</v>
      </c>
      <c r="K97" s="3">
        <v>90</v>
      </c>
      <c r="L97" s="42"/>
    </row>
    <row r="98" spans="1:12">
      <c r="A98">
        <v>96</v>
      </c>
      <c r="B98" t="s">
        <v>107</v>
      </c>
      <c r="C98" t="s">
        <v>216</v>
      </c>
      <c r="D98" s="3">
        <v>17</v>
      </c>
      <c r="E98" t="s">
        <v>199</v>
      </c>
      <c r="F98" s="3">
        <v>32</v>
      </c>
      <c r="G98" s="3" t="s">
        <v>73</v>
      </c>
      <c r="H98" s="3" t="s">
        <v>166</v>
      </c>
      <c r="I98" s="3" t="s">
        <v>73</v>
      </c>
      <c r="J98" s="3" t="s">
        <v>0</v>
      </c>
      <c r="K98" s="3">
        <v>96</v>
      </c>
      <c r="L98" s="42"/>
    </row>
    <row r="99" spans="1:12">
      <c r="A99">
        <v>97</v>
      </c>
      <c r="B99" t="s">
        <v>107</v>
      </c>
      <c r="C99" t="s">
        <v>217</v>
      </c>
      <c r="D99" s="3">
        <v>18</v>
      </c>
      <c r="E99" t="s">
        <v>197</v>
      </c>
      <c r="F99" s="3">
        <v>33</v>
      </c>
      <c r="G99" s="3" t="s">
        <v>83</v>
      </c>
      <c r="H99" s="3" t="s">
        <v>156</v>
      </c>
      <c r="I99" s="3" t="s">
        <v>83</v>
      </c>
      <c r="J99" s="3" t="s">
        <v>0</v>
      </c>
      <c r="K99" s="3">
        <v>105</v>
      </c>
      <c r="L99" s="42"/>
    </row>
    <row r="100" spans="1:12">
      <c r="A100">
        <v>98</v>
      </c>
      <c r="B100" t="s">
        <v>107</v>
      </c>
      <c r="C100" t="s">
        <v>218</v>
      </c>
      <c r="D100" s="3">
        <v>19</v>
      </c>
      <c r="E100" t="s">
        <v>197</v>
      </c>
      <c r="F100" s="3">
        <v>25</v>
      </c>
      <c r="G100" s="3" t="s">
        <v>73</v>
      </c>
      <c r="H100" s="3" t="s">
        <v>166</v>
      </c>
      <c r="I100" s="3" t="s">
        <v>73</v>
      </c>
      <c r="J100" s="3" t="s">
        <v>0</v>
      </c>
      <c r="K100" s="3">
        <v>112</v>
      </c>
      <c r="L100" s="42"/>
    </row>
    <row r="101" spans="1:12">
      <c r="A101">
        <v>99</v>
      </c>
      <c r="B101" t="s">
        <v>107</v>
      </c>
      <c r="C101" t="s">
        <v>219</v>
      </c>
      <c r="D101" s="3">
        <v>20</v>
      </c>
      <c r="E101" t="s">
        <v>195</v>
      </c>
      <c r="F101" s="3">
        <v>20</v>
      </c>
      <c r="G101" s="3" t="s">
        <v>73</v>
      </c>
      <c r="H101" s="3" t="s">
        <v>156</v>
      </c>
      <c r="I101" s="3" t="s">
        <v>83</v>
      </c>
      <c r="J101" s="3" t="s">
        <v>0</v>
      </c>
      <c r="K101" s="3">
        <v>115</v>
      </c>
      <c r="L101" s="42"/>
    </row>
    <row r="102" spans="1:12">
      <c r="A102">
        <v>100</v>
      </c>
      <c r="B102" t="s">
        <v>107</v>
      </c>
      <c r="C102" t="s">
        <v>220</v>
      </c>
      <c r="D102" s="3">
        <v>21</v>
      </c>
      <c r="E102" t="s">
        <v>197</v>
      </c>
      <c r="F102" s="3">
        <v>32</v>
      </c>
      <c r="G102" s="3" t="s">
        <v>83</v>
      </c>
      <c r="H102" s="3" t="s">
        <v>156</v>
      </c>
      <c r="I102" s="3" t="s">
        <v>83</v>
      </c>
      <c r="J102" s="3" t="s">
        <v>0</v>
      </c>
      <c r="K102" s="3">
        <v>119</v>
      </c>
      <c r="L102" s="42"/>
    </row>
    <row r="103" spans="1:12">
      <c r="A103">
        <v>101</v>
      </c>
      <c r="B103" t="s">
        <v>107</v>
      </c>
      <c r="C103" t="s">
        <v>221</v>
      </c>
      <c r="D103" s="3">
        <v>22</v>
      </c>
      <c r="E103" t="s">
        <v>197</v>
      </c>
      <c r="F103" s="3">
        <v>45</v>
      </c>
      <c r="G103" s="3" t="s">
        <v>73</v>
      </c>
      <c r="H103" s="3" t="s">
        <v>177</v>
      </c>
      <c r="I103" s="3" t="s">
        <v>83</v>
      </c>
      <c r="J103" s="3" t="s">
        <v>0</v>
      </c>
      <c r="K103" s="3">
        <v>126</v>
      </c>
      <c r="L103" s="42"/>
    </row>
    <row r="104" spans="1:12">
      <c r="A104">
        <v>102</v>
      </c>
      <c r="B104" t="s">
        <v>107</v>
      </c>
      <c r="C104" t="s">
        <v>222</v>
      </c>
      <c r="D104" s="3">
        <v>23</v>
      </c>
      <c r="E104" t="s">
        <v>197</v>
      </c>
      <c r="F104" s="3">
        <v>23</v>
      </c>
      <c r="G104" s="3" t="s">
        <v>83</v>
      </c>
      <c r="H104" s="3" t="s">
        <v>156</v>
      </c>
      <c r="I104" s="3" t="s">
        <v>83</v>
      </c>
      <c r="J104" s="3" t="s">
        <v>0</v>
      </c>
      <c r="K104" s="3">
        <v>131</v>
      </c>
      <c r="L104" s="42"/>
    </row>
    <row r="105" spans="1:12">
      <c r="A105">
        <v>103</v>
      </c>
      <c r="B105" t="s">
        <v>122</v>
      </c>
      <c r="C105" t="s">
        <v>223</v>
      </c>
      <c r="D105" s="3">
        <v>24</v>
      </c>
      <c r="E105" t="s">
        <v>195</v>
      </c>
      <c r="F105" s="3">
        <v>42</v>
      </c>
      <c r="G105" s="3" t="s">
        <v>73</v>
      </c>
      <c r="H105" s="3" t="s">
        <v>208</v>
      </c>
      <c r="I105" s="3" t="s">
        <v>83</v>
      </c>
      <c r="J105" s="3" t="s">
        <v>18</v>
      </c>
      <c r="K105" s="3">
        <v>143</v>
      </c>
      <c r="L105" s="42"/>
    </row>
    <row r="106" spans="1:12">
      <c r="A106">
        <v>104</v>
      </c>
      <c r="B106" t="s">
        <v>122</v>
      </c>
      <c r="C106" t="s">
        <v>224</v>
      </c>
      <c r="D106" s="3">
        <v>26</v>
      </c>
      <c r="E106" t="s">
        <v>195</v>
      </c>
      <c r="F106" s="3">
        <v>28</v>
      </c>
      <c r="G106" s="3" t="s">
        <v>73</v>
      </c>
      <c r="H106" s="3" t="s">
        <v>156</v>
      </c>
      <c r="I106" s="3" t="s">
        <v>73</v>
      </c>
      <c r="J106" s="3" t="s">
        <v>0</v>
      </c>
      <c r="K106" s="3">
        <v>149</v>
      </c>
      <c r="L106" s="42"/>
    </row>
    <row r="107" spans="1:12">
      <c r="A107">
        <v>105</v>
      </c>
      <c r="B107" t="s">
        <v>122</v>
      </c>
      <c r="C107" t="s">
        <v>225</v>
      </c>
      <c r="D107" s="3">
        <v>27</v>
      </c>
      <c r="E107" t="s">
        <v>197</v>
      </c>
      <c r="F107" s="3">
        <v>36</v>
      </c>
      <c r="G107" s="3" t="s">
        <v>73</v>
      </c>
      <c r="H107" s="3" t="s">
        <v>177</v>
      </c>
      <c r="I107" s="3" t="s">
        <v>73</v>
      </c>
      <c r="J107" s="3" t="s">
        <v>0</v>
      </c>
      <c r="K107" s="3">
        <v>154</v>
      </c>
      <c r="L107" s="42"/>
    </row>
    <row r="108" spans="1:12">
      <c r="A108">
        <v>106</v>
      </c>
      <c r="B108" t="s">
        <v>122</v>
      </c>
      <c r="C108" t="s">
        <v>226</v>
      </c>
      <c r="D108" s="3">
        <v>28</v>
      </c>
      <c r="E108" t="s">
        <v>197</v>
      </c>
      <c r="F108" s="3">
        <v>27</v>
      </c>
      <c r="G108" s="3" t="s">
        <v>73</v>
      </c>
      <c r="H108" s="3" t="s">
        <v>156</v>
      </c>
      <c r="I108" s="3" t="s">
        <v>73</v>
      </c>
      <c r="J108" s="3" t="s">
        <v>0</v>
      </c>
      <c r="K108" s="3">
        <v>159</v>
      </c>
      <c r="L108" s="42"/>
    </row>
    <row r="109" spans="1:12">
      <c r="A109">
        <v>107</v>
      </c>
      <c r="B109" t="s">
        <v>122</v>
      </c>
      <c r="C109" t="s">
        <v>227</v>
      </c>
      <c r="D109" s="3">
        <v>29</v>
      </c>
      <c r="E109" t="s">
        <v>197</v>
      </c>
      <c r="F109" s="3">
        <v>21</v>
      </c>
      <c r="G109" s="3" t="s">
        <v>83</v>
      </c>
      <c r="H109" s="3" t="s">
        <v>156</v>
      </c>
      <c r="I109" s="3" t="s">
        <v>83</v>
      </c>
      <c r="J109" s="3" t="s">
        <v>0</v>
      </c>
      <c r="K109" s="3">
        <v>164</v>
      </c>
      <c r="L109" s="42"/>
    </row>
    <row r="110" spans="1:12">
      <c r="A110">
        <v>108</v>
      </c>
      <c r="B110" t="s">
        <v>122</v>
      </c>
      <c r="C110" t="s">
        <v>228</v>
      </c>
      <c r="D110" s="3">
        <v>30</v>
      </c>
      <c r="E110" t="s">
        <v>195</v>
      </c>
      <c r="F110" s="3">
        <v>32</v>
      </c>
      <c r="G110" s="3" t="s">
        <v>73</v>
      </c>
      <c r="H110" s="3" t="s">
        <v>156</v>
      </c>
      <c r="I110" s="3" t="s">
        <v>83</v>
      </c>
      <c r="J110" s="3" t="s">
        <v>0</v>
      </c>
      <c r="K110" s="3">
        <v>166</v>
      </c>
      <c r="L110" s="42"/>
    </row>
    <row r="111" spans="1:12">
      <c r="A111">
        <v>109</v>
      </c>
      <c r="B111" t="s">
        <v>122</v>
      </c>
      <c r="C111" t="s">
        <v>229</v>
      </c>
      <c r="D111" s="3">
        <v>31</v>
      </c>
      <c r="E111" t="s">
        <v>197</v>
      </c>
      <c r="F111" s="3">
        <v>42</v>
      </c>
      <c r="G111" s="3" t="s">
        <v>83</v>
      </c>
      <c r="H111" s="3" t="s">
        <v>156</v>
      </c>
      <c r="I111" s="3" t="s">
        <v>83</v>
      </c>
      <c r="J111" s="3" t="s">
        <v>0</v>
      </c>
      <c r="K111" s="3">
        <v>173</v>
      </c>
      <c r="L111" s="42"/>
    </row>
    <row r="112" spans="1:12">
      <c r="A112">
        <v>110</v>
      </c>
      <c r="B112" t="s">
        <v>122</v>
      </c>
      <c r="C112" t="s">
        <v>230</v>
      </c>
      <c r="D112" s="3">
        <v>32</v>
      </c>
      <c r="E112" t="s">
        <v>197</v>
      </c>
      <c r="F112" s="3">
        <v>32</v>
      </c>
      <c r="G112" s="3" t="s">
        <v>83</v>
      </c>
      <c r="H112" s="3" t="s">
        <v>156</v>
      </c>
      <c r="I112" s="3" t="s">
        <v>83</v>
      </c>
      <c r="J112" s="3" t="s">
        <v>0</v>
      </c>
      <c r="K112" s="3">
        <v>179</v>
      </c>
      <c r="L112" s="42"/>
    </row>
    <row r="113" spans="1:12">
      <c r="A113">
        <v>111</v>
      </c>
      <c r="B113" t="s">
        <v>122</v>
      </c>
      <c r="C113" t="s">
        <v>231</v>
      </c>
      <c r="D113" s="3">
        <v>33</v>
      </c>
      <c r="E113" t="s">
        <v>197</v>
      </c>
      <c r="F113" s="3">
        <v>32</v>
      </c>
      <c r="G113" s="3" t="s">
        <v>83</v>
      </c>
      <c r="H113" s="3" t="s">
        <v>156</v>
      </c>
      <c r="I113" s="3" t="s">
        <v>83</v>
      </c>
      <c r="J113" s="3" t="s">
        <v>0</v>
      </c>
      <c r="K113" s="3">
        <v>184</v>
      </c>
      <c r="L113" s="42"/>
    </row>
    <row r="114" spans="1:12">
      <c r="A114">
        <v>112</v>
      </c>
      <c r="B114" t="s">
        <v>122</v>
      </c>
      <c r="C114" t="s">
        <v>232</v>
      </c>
      <c r="D114" s="3">
        <v>34</v>
      </c>
      <c r="E114" t="s">
        <v>197</v>
      </c>
      <c r="F114" s="3">
        <v>50</v>
      </c>
      <c r="G114" s="3" t="s">
        <v>83</v>
      </c>
      <c r="H114" s="3" t="s">
        <v>156</v>
      </c>
      <c r="I114" s="3" t="s">
        <v>83</v>
      </c>
      <c r="J114" s="3" t="s">
        <v>0</v>
      </c>
      <c r="K114" s="3">
        <v>189</v>
      </c>
      <c r="L114" s="42"/>
    </row>
    <row r="115" spans="1:12">
      <c r="A115">
        <v>113</v>
      </c>
      <c r="B115" t="s">
        <v>122</v>
      </c>
      <c r="C115" t="s">
        <v>118</v>
      </c>
      <c r="D115" s="3">
        <v>35</v>
      </c>
      <c r="E115" t="s">
        <v>197</v>
      </c>
      <c r="F115" s="3">
        <v>47</v>
      </c>
      <c r="G115" s="3" t="s">
        <v>73</v>
      </c>
      <c r="H115" s="3" t="s">
        <v>156</v>
      </c>
      <c r="I115" s="3" t="s">
        <v>83</v>
      </c>
      <c r="J115" s="3" t="s">
        <v>0</v>
      </c>
      <c r="K115" s="3">
        <v>195</v>
      </c>
      <c r="L115" s="42"/>
    </row>
    <row r="116" spans="1:12">
      <c r="A116">
        <v>114</v>
      </c>
      <c r="B116" t="s">
        <v>122</v>
      </c>
      <c r="C116" t="s">
        <v>233</v>
      </c>
      <c r="D116" s="3">
        <v>36</v>
      </c>
      <c r="E116" t="s">
        <v>195</v>
      </c>
      <c r="F116" s="3">
        <v>27</v>
      </c>
      <c r="G116" s="3" t="s">
        <v>73</v>
      </c>
      <c r="H116" s="3" t="s">
        <v>156</v>
      </c>
      <c r="I116" s="3" t="s">
        <v>83</v>
      </c>
      <c r="J116" s="3" t="s">
        <v>0</v>
      </c>
      <c r="K116" s="3">
        <v>199</v>
      </c>
      <c r="L116" s="42"/>
    </row>
    <row r="117" spans="1:12">
      <c r="A117">
        <v>115</v>
      </c>
      <c r="B117" t="s">
        <v>122</v>
      </c>
      <c r="C117" t="s">
        <v>234</v>
      </c>
      <c r="D117" s="3">
        <v>37</v>
      </c>
      <c r="E117" t="s">
        <v>197</v>
      </c>
      <c r="F117" s="3">
        <v>53</v>
      </c>
      <c r="G117" s="3" t="s">
        <v>73</v>
      </c>
      <c r="H117" s="3" t="s">
        <v>156</v>
      </c>
      <c r="I117" s="3" t="s">
        <v>73</v>
      </c>
      <c r="J117" s="3" t="s">
        <v>0</v>
      </c>
      <c r="K117" s="3">
        <v>204</v>
      </c>
      <c r="L117" s="42"/>
    </row>
    <row r="118" spans="1:12">
      <c r="A118">
        <v>116</v>
      </c>
      <c r="B118" t="s">
        <v>122</v>
      </c>
      <c r="C118" t="s">
        <v>235</v>
      </c>
      <c r="D118" s="3">
        <v>38</v>
      </c>
      <c r="E118" t="s">
        <v>195</v>
      </c>
      <c r="F118" s="3">
        <v>52</v>
      </c>
      <c r="G118" s="3" t="s">
        <v>73</v>
      </c>
      <c r="H118" s="3" t="s">
        <v>156</v>
      </c>
      <c r="I118" s="3" t="s">
        <v>73</v>
      </c>
      <c r="J118" s="3" t="s">
        <v>0</v>
      </c>
      <c r="K118" s="3">
        <v>208</v>
      </c>
      <c r="L118" s="42"/>
    </row>
    <row r="119" spans="1:12">
      <c r="A119">
        <v>117</v>
      </c>
      <c r="B119" t="s">
        <v>122</v>
      </c>
      <c r="C119" t="s">
        <v>236</v>
      </c>
      <c r="D119" s="3">
        <v>39</v>
      </c>
      <c r="E119" t="s">
        <v>197</v>
      </c>
      <c r="F119" s="3">
        <v>22</v>
      </c>
      <c r="G119" s="3" t="s">
        <v>83</v>
      </c>
      <c r="H119" s="3" t="s">
        <v>156</v>
      </c>
      <c r="I119" s="3" t="s">
        <v>83</v>
      </c>
      <c r="J119" s="3" t="s">
        <v>0</v>
      </c>
      <c r="K119" s="3">
        <v>214</v>
      </c>
      <c r="L119" s="42"/>
    </row>
    <row r="120" spans="1:12">
      <c r="A120">
        <v>118</v>
      </c>
      <c r="B120" t="s">
        <v>122</v>
      </c>
      <c r="C120" t="s">
        <v>237</v>
      </c>
      <c r="D120" s="3">
        <v>40</v>
      </c>
      <c r="E120" t="s">
        <v>197</v>
      </c>
      <c r="F120" s="3">
        <v>31</v>
      </c>
      <c r="G120" s="3" t="s">
        <v>83</v>
      </c>
      <c r="H120" s="3" t="s">
        <v>156</v>
      </c>
      <c r="I120" s="3" t="s">
        <v>83</v>
      </c>
      <c r="J120" s="3" t="s">
        <v>0</v>
      </c>
      <c r="K120" s="3">
        <v>216</v>
      </c>
      <c r="L120" s="42"/>
    </row>
    <row r="121" spans="1:12">
      <c r="A121">
        <v>119</v>
      </c>
      <c r="B121" t="s">
        <v>122</v>
      </c>
      <c r="C121" t="s">
        <v>238</v>
      </c>
      <c r="D121" s="3">
        <v>41</v>
      </c>
      <c r="E121" t="s">
        <v>197</v>
      </c>
      <c r="F121" s="3">
        <v>28</v>
      </c>
      <c r="G121" s="3" t="s">
        <v>83</v>
      </c>
      <c r="H121" s="3" t="s">
        <v>156</v>
      </c>
      <c r="I121" s="3" t="s">
        <v>83</v>
      </c>
      <c r="J121" s="3" t="s">
        <v>0</v>
      </c>
      <c r="K121" s="3">
        <v>219</v>
      </c>
      <c r="L121" s="42"/>
    </row>
    <row r="122" spans="1:12">
      <c r="A122">
        <v>120</v>
      </c>
      <c r="B122" t="s">
        <v>122</v>
      </c>
      <c r="C122" t="s">
        <v>239</v>
      </c>
      <c r="D122" s="3">
        <v>42</v>
      </c>
      <c r="E122" t="s">
        <v>197</v>
      </c>
      <c r="F122" s="3">
        <v>35</v>
      </c>
      <c r="G122" s="3" t="s">
        <v>83</v>
      </c>
      <c r="H122" s="3" t="s">
        <v>156</v>
      </c>
      <c r="I122" s="3" t="s">
        <v>83</v>
      </c>
      <c r="J122" s="3" t="s">
        <v>0</v>
      </c>
      <c r="K122" s="3">
        <v>220</v>
      </c>
      <c r="L122" s="42"/>
    </row>
    <row r="123" spans="1:12">
      <c r="A123">
        <v>121</v>
      </c>
      <c r="B123" t="s">
        <v>122</v>
      </c>
      <c r="C123" t="s">
        <v>240</v>
      </c>
      <c r="D123" s="3">
        <v>43</v>
      </c>
      <c r="E123" t="s">
        <v>195</v>
      </c>
      <c r="F123" s="3">
        <v>55</v>
      </c>
      <c r="G123" s="3" t="s">
        <v>73</v>
      </c>
      <c r="H123" s="3" t="s">
        <v>156</v>
      </c>
      <c r="I123" s="3" t="s">
        <v>83</v>
      </c>
      <c r="J123" s="3" t="s">
        <v>0</v>
      </c>
      <c r="K123" s="3">
        <v>225</v>
      </c>
      <c r="L123" s="42"/>
    </row>
    <row r="124" spans="1:12">
      <c r="A124">
        <v>122</v>
      </c>
      <c r="B124" t="s">
        <v>122</v>
      </c>
      <c r="C124" t="s">
        <v>241</v>
      </c>
      <c r="D124" s="3">
        <v>44</v>
      </c>
      <c r="E124" t="s">
        <v>195</v>
      </c>
      <c r="F124" s="3">
        <v>35</v>
      </c>
      <c r="G124" s="3" t="s">
        <v>73</v>
      </c>
      <c r="H124" s="3" t="s">
        <v>156</v>
      </c>
      <c r="I124" s="3" t="s">
        <v>83</v>
      </c>
      <c r="J124" s="3" t="s">
        <v>0</v>
      </c>
      <c r="K124" s="3">
        <v>233</v>
      </c>
      <c r="L124" s="42"/>
    </row>
    <row r="125" spans="1:12">
      <c r="A125">
        <v>123</v>
      </c>
      <c r="B125" t="s">
        <v>122</v>
      </c>
      <c r="C125" t="s">
        <v>242</v>
      </c>
      <c r="D125" s="3">
        <v>45</v>
      </c>
      <c r="E125" t="s">
        <v>197</v>
      </c>
      <c r="F125" s="3">
        <v>23</v>
      </c>
      <c r="G125" s="3" t="s">
        <v>83</v>
      </c>
      <c r="H125" s="3" t="s">
        <v>156</v>
      </c>
      <c r="I125" s="3" t="s">
        <v>83</v>
      </c>
      <c r="J125" s="3" t="s">
        <v>0</v>
      </c>
      <c r="K125" s="3">
        <v>239</v>
      </c>
      <c r="L125" s="42"/>
    </row>
    <row r="126" spans="1:12">
      <c r="A126">
        <v>124</v>
      </c>
      <c r="B126" t="s">
        <v>122</v>
      </c>
      <c r="C126" t="s">
        <v>243</v>
      </c>
      <c r="D126" s="3">
        <v>46</v>
      </c>
      <c r="E126" t="s">
        <v>197</v>
      </c>
      <c r="F126" s="3">
        <v>29</v>
      </c>
      <c r="G126" s="3" t="s">
        <v>83</v>
      </c>
      <c r="H126" s="3" t="s">
        <v>156</v>
      </c>
      <c r="I126" s="3" t="s">
        <v>83</v>
      </c>
      <c r="J126" s="3" t="s">
        <v>0</v>
      </c>
      <c r="K126" s="3">
        <v>241</v>
      </c>
      <c r="L126" s="42"/>
    </row>
    <row r="127" spans="1:12">
      <c r="A127">
        <v>125</v>
      </c>
      <c r="B127" t="s">
        <v>122</v>
      </c>
      <c r="C127" t="s">
        <v>244</v>
      </c>
      <c r="D127" s="3">
        <v>47</v>
      </c>
      <c r="E127" t="s">
        <v>197</v>
      </c>
      <c r="F127" s="3">
        <v>42</v>
      </c>
      <c r="G127" s="3" t="s">
        <v>73</v>
      </c>
      <c r="H127" s="3" t="s">
        <v>156</v>
      </c>
      <c r="I127" s="3" t="s">
        <v>73</v>
      </c>
      <c r="J127" s="3" t="s">
        <v>0</v>
      </c>
      <c r="K127" s="3">
        <v>248</v>
      </c>
      <c r="L127" s="42"/>
    </row>
    <row r="128" spans="1:12">
      <c r="A128">
        <v>126</v>
      </c>
      <c r="B128" t="s">
        <v>245</v>
      </c>
      <c r="C128" t="s">
        <v>246</v>
      </c>
      <c r="D128" s="3">
        <v>48</v>
      </c>
      <c r="E128" t="s">
        <v>195</v>
      </c>
      <c r="F128" s="3">
        <v>34</v>
      </c>
      <c r="G128" s="3" t="s">
        <v>73</v>
      </c>
      <c r="H128" s="3" t="s">
        <v>163</v>
      </c>
      <c r="I128" s="3" t="s">
        <v>83</v>
      </c>
      <c r="J128" s="3" t="s">
        <v>0</v>
      </c>
      <c r="K128" s="3">
        <v>253</v>
      </c>
      <c r="L128" s="42"/>
    </row>
    <row r="129" spans="1:12">
      <c r="A129">
        <v>127</v>
      </c>
      <c r="B129" t="s">
        <v>245</v>
      </c>
      <c r="C129" t="s">
        <v>247</v>
      </c>
      <c r="D129" s="3">
        <v>49</v>
      </c>
      <c r="E129" t="s">
        <v>195</v>
      </c>
      <c r="F129" s="3">
        <v>23</v>
      </c>
      <c r="G129" s="3" t="s">
        <v>73</v>
      </c>
      <c r="H129" s="3" t="s">
        <v>163</v>
      </c>
      <c r="I129" s="3" t="s">
        <v>83</v>
      </c>
      <c r="J129" s="3" t="s">
        <v>0</v>
      </c>
      <c r="K129" s="3">
        <v>260</v>
      </c>
      <c r="L129" s="42"/>
    </row>
    <row r="130" spans="1:12">
      <c r="A130">
        <v>128</v>
      </c>
      <c r="B130" t="s">
        <v>245</v>
      </c>
      <c r="C130" t="s">
        <v>248</v>
      </c>
      <c r="D130" s="3">
        <v>50</v>
      </c>
      <c r="E130" t="s">
        <v>197</v>
      </c>
      <c r="F130" s="3">
        <v>53</v>
      </c>
      <c r="G130" s="3" t="s">
        <v>83</v>
      </c>
      <c r="H130" s="3" t="s">
        <v>208</v>
      </c>
      <c r="I130" s="3" t="s">
        <v>83</v>
      </c>
      <c r="J130" s="3" t="s">
        <v>0</v>
      </c>
      <c r="K130" s="3">
        <v>265</v>
      </c>
      <c r="L130" s="42"/>
    </row>
    <row r="131" spans="1:12">
      <c r="A131">
        <v>129</v>
      </c>
      <c r="B131" t="s">
        <v>245</v>
      </c>
      <c r="C131" t="s">
        <v>249</v>
      </c>
      <c r="D131" s="3">
        <v>51</v>
      </c>
      <c r="E131" t="s">
        <v>197</v>
      </c>
      <c r="F131" s="3">
        <v>40</v>
      </c>
      <c r="G131" s="3" t="s">
        <v>73</v>
      </c>
      <c r="H131" s="3" t="s">
        <v>166</v>
      </c>
      <c r="I131" s="3" t="s">
        <v>73</v>
      </c>
      <c r="J131" s="3" t="s">
        <v>0</v>
      </c>
      <c r="K131" s="3">
        <v>273</v>
      </c>
      <c r="L131" s="42"/>
    </row>
    <row r="132" spans="1:12">
      <c r="A132">
        <v>130</v>
      </c>
      <c r="B132" t="s">
        <v>245</v>
      </c>
      <c r="C132" t="s">
        <v>250</v>
      </c>
      <c r="D132" s="3">
        <v>52</v>
      </c>
      <c r="E132" t="s">
        <v>197</v>
      </c>
      <c r="F132" s="3">
        <v>42</v>
      </c>
      <c r="G132" s="3" t="s">
        <v>73</v>
      </c>
      <c r="H132" s="3" t="s">
        <v>166</v>
      </c>
      <c r="I132" s="3" t="s">
        <v>73</v>
      </c>
      <c r="J132" s="3" t="s">
        <v>0</v>
      </c>
      <c r="K132" s="3">
        <v>281</v>
      </c>
      <c r="L132" s="42"/>
    </row>
    <row r="133" spans="1:12">
      <c r="A133">
        <v>131</v>
      </c>
      <c r="B133" t="s">
        <v>245</v>
      </c>
      <c r="C133" t="s">
        <v>251</v>
      </c>
      <c r="D133" s="3">
        <v>53</v>
      </c>
      <c r="E133" t="s">
        <v>197</v>
      </c>
      <c r="F133" s="3">
        <v>38</v>
      </c>
      <c r="G133" s="3" t="s">
        <v>73</v>
      </c>
      <c r="H133" s="3" t="s">
        <v>177</v>
      </c>
      <c r="I133" s="3" t="s">
        <v>73</v>
      </c>
      <c r="J133" s="3" t="s">
        <v>0</v>
      </c>
      <c r="K133" s="3">
        <v>289</v>
      </c>
      <c r="L133" s="42"/>
    </row>
    <row r="134" spans="1:12">
      <c r="A134">
        <v>132</v>
      </c>
      <c r="B134" t="s">
        <v>245</v>
      </c>
      <c r="C134" t="s">
        <v>252</v>
      </c>
      <c r="D134" s="3">
        <v>54</v>
      </c>
      <c r="E134" t="s">
        <v>195</v>
      </c>
      <c r="F134" s="3">
        <v>32</v>
      </c>
      <c r="G134" s="3" t="s">
        <v>73</v>
      </c>
      <c r="H134" s="3" t="s">
        <v>163</v>
      </c>
      <c r="I134" s="3" t="s">
        <v>83</v>
      </c>
      <c r="J134" s="3" t="s">
        <v>0</v>
      </c>
      <c r="K134" s="3">
        <v>295</v>
      </c>
      <c r="L134" s="42"/>
    </row>
    <row r="135" spans="1:12">
      <c r="A135">
        <v>133</v>
      </c>
      <c r="B135" t="s">
        <v>245</v>
      </c>
      <c r="C135" t="s">
        <v>253</v>
      </c>
      <c r="D135" s="3">
        <v>55</v>
      </c>
      <c r="E135" t="s">
        <v>195</v>
      </c>
      <c r="F135" s="3">
        <v>25</v>
      </c>
      <c r="G135" s="3" t="s">
        <v>73</v>
      </c>
      <c r="H135" s="3" t="s">
        <v>163</v>
      </c>
      <c r="I135" s="3" t="s">
        <v>83</v>
      </c>
      <c r="J135" s="3" t="s">
        <v>0</v>
      </c>
      <c r="K135" s="3">
        <v>303</v>
      </c>
      <c r="L135" s="42"/>
    </row>
    <row r="136" spans="1:12">
      <c r="A136">
        <v>134</v>
      </c>
      <c r="B136" t="s">
        <v>245</v>
      </c>
      <c r="C136" t="s">
        <v>254</v>
      </c>
      <c r="D136" s="3">
        <v>56</v>
      </c>
      <c r="E136" t="s">
        <v>195</v>
      </c>
      <c r="F136" s="3">
        <v>39</v>
      </c>
      <c r="G136" s="3" t="s">
        <v>73</v>
      </c>
      <c r="H136" s="3" t="s">
        <v>208</v>
      </c>
      <c r="I136" s="3" t="s">
        <v>83</v>
      </c>
      <c r="J136" s="3" t="s">
        <v>18</v>
      </c>
      <c r="K136" s="3">
        <v>308</v>
      </c>
      <c r="L136" s="42"/>
    </row>
    <row r="137" spans="1:12">
      <c r="A137">
        <v>135</v>
      </c>
      <c r="B137" t="s">
        <v>245</v>
      </c>
      <c r="C137" t="s">
        <v>255</v>
      </c>
      <c r="D137" s="3">
        <v>57</v>
      </c>
      <c r="E137" t="s">
        <v>197</v>
      </c>
      <c r="F137" s="3">
        <v>75</v>
      </c>
      <c r="G137" s="3" t="s">
        <v>83</v>
      </c>
      <c r="H137" s="3" t="s">
        <v>208</v>
      </c>
      <c r="I137" s="3" t="s">
        <v>83</v>
      </c>
      <c r="J137" s="3" t="s">
        <v>0</v>
      </c>
      <c r="K137" s="3">
        <v>318</v>
      </c>
      <c r="L137" s="42"/>
    </row>
    <row r="138" spans="1:12">
      <c r="A138">
        <v>136</v>
      </c>
      <c r="B138" t="s">
        <v>245</v>
      </c>
      <c r="C138" t="s">
        <v>256</v>
      </c>
      <c r="D138" s="3">
        <v>58</v>
      </c>
      <c r="E138" t="s">
        <v>197</v>
      </c>
      <c r="F138" s="3">
        <v>78</v>
      </c>
      <c r="G138" s="3" t="s">
        <v>73</v>
      </c>
      <c r="H138" s="3" t="s">
        <v>177</v>
      </c>
      <c r="I138" s="3" t="s">
        <v>73</v>
      </c>
      <c r="J138" s="3" t="s">
        <v>0</v>
      </c>
      <c r="K138" s="3">
        <v>325</v>
      </c>
      <c r="L138" s="42"/>
    </row>
    <row r="139" spans="1:12">
      <c r="A139">
        <v>137</v>
      </c>
      <c r="B139" t="s">
        <v>245</v>
      </c>
      <c r="C139" t="s">
        <v>257</v>
      </c>
      <c r="D139" s="3">
        <v>59</v>
      </c>
      <c r="E139" t="s">
        <v>197</v>
      </c>
      <c r="F139" s="3">
        <v>62</v>
      </c>
      <c r="G139" s="3" t="s">
        <v>73</v>
      </c>
      <c r="H139" s="3" t="s">
        <v>177</v>
      </c>
      <c r="I139" s="3" t="s">
        <v>73</v>
      </c>
      <c r="J139" s="3" t="s">
        <v>0</v>
      </c>
      <c r="K139" s="3">
        <v>329</v>
      </c>
      <c r="L139" s="42"/>
    </row>
    <row r="140" spans="1:12">
      <c r="A140">
        <v>138</v>
      </c>
      <c r="B140" t="s">
        <v>245</v>
      </c>
      <c r="C140" t="s">
        <v>258</v>
      </c>
      <c r="D140" s="3">
        <v>60</v>
      </c>
      <c r="E140" t="s">
        <v>195</v>
      </c>
      <c r="F140" s="3">
        <v>22</v>
      </c>
      <c r="G140" s="3" t="s">
        <v>73</v>
      </c>
      <c r="H140" s="3" t="s">
        <v>163</v>
      </c>
      <c r="I140" s="3" t="s">
        <v>83</v>
      </c>
      <c r="J140" s="3" t="s">
        <v>0</v>
      </c>
      <c r="K140" s="3">
        <v>335</v>
      </c>
      <c r="L140" s="42"/>
    </row>
    <row r="141" spans="1:12">
      <c r="A141">
        <v>139</v>
      </c>
      <c r="B141" t="s">
        <v>245</v>
      </c>
      <c r="C141" t="s">
        <v>259</v>
      </c>
      <c r="D141" s="3">
        <v>61</v>
      </c>
      <c r="E141" t="s">
        <v>197</v>
      </c>
      <c r="F141" s="3">
        <v>41</v>
      </c>
      <c r="G141" s="3" t="s">
        <v>83</v>
      </c>
      <c r="H141" s="3" t="s">
        <v>163</v>
      </c>
      <c r="I141" s="3" t="s">
        <v>83</v>
      </c>
      <c r="J141" s="3" t="s">
        <v>0</v>
      </c>
      <c r="K141" s="3">
        <v>339</v>
      </c>
      <c r="L141" s="42"/>
    </row>
    <row r="142" spans="1:12">
      <c r="A142">
        <v>140</v>
      </c>
      <c r="B142" t="s">
        <v>245</v>
      </c>
      <c r="C142" t="s">
        <v>260</v>
      </c>
      <c r="D142" s="3">
        <v>62</v>
      </c>
      <c r="E142" t="s">
        <v>197</v>
      </c>
      <c r="F142" s="3">
        <v>30</v>
      </c>
      <c r="G142" s="3" t="s">
        <v>83</v>
      </c>
      <c r="H142" s="3" t="s">
        <v>163</v>
      </c>
      <c r="I142" s="3" t="s">
        <v>83</v>
      </c>
      <c r="J142" s="3" t="s">
        <v>0</v>
      </c>
      <c r="K142" s="3">
        <v>342</v>
      </c>
      <c r="L142" s="42"/>
    </row>
    <row r="143" spans="1:12">
      <c r="A143">
        <v>141</v>
      </c>
      <c r="B143" t="s">
        <v>245</v>
      </c>
      <c r="C143" t="s">
        <v>261</v>
      </c>
      <c r="D143" s="3">
        <v>63</v>
      </c>
      <c r="E143" t="s">
        <v>197</v>
      </c>
      <c r="F143" s="3">
        <v>56</v>
      </c>
      <c r="G143" s="3" t="s">
        <v>83</v>
      </c>
      <c r="H143" s="3" t="s">
        <v>177</v>
      </c>
      <c r="I143" s="3" t="s">
        <v>73</v>
      </c>
      <c r="J143" s="3" t="s">
        <v>0</v>
      </c>
      <c r="K143" s="3">
        <v>347</v>
      </c>
      <c r="L143" s="42"/>
    </row>
    <row r="144" spans="1:12">
      <c r="A144">
        <v>142</v>
      </c>
      <c r="B144" t="s">
        <v>245</v>
      </c>
      <c r="C144" t="s">
        <v>262</v>
      </c>
      <c r="D144" s="3">
        <v>64</v>
      </c>
      <c r="E144" t="s">
        <v>195</v>
      </c>
      <c r="F144" s="3">
        <v>29</v>
      </c>
      <c r="G144" s="3" t="s">
        <v>73</v>
      </c>
      <c r="H144" s="3" t="s">
        <v>163</v>
      </c>
      <c r="I144" s="3" t="s">
        <v>73</v>
      </c>
      <c r="J144" s="3" t="s">
        <v>0</v>
      </c>
      <c r="K144" s="3">
        <v>352</v>
      </c>
      <c r="L144" s="42"/>
    </row>
    <row r="145" spans="1:12">
      <c r="A145">
        <v>143</v>
      </c>
      <c r="B145" t="s">
        <v>245</v>
      </c>
      <c r="C145" t="s">
        <v>263</v>
      </c>
      <c r="D145" s="3">
        <v>65</v>
      </c>
      <c r="E145" t="s">
        <v>197</v>
      </c>
      <c r="F145" s="3">
        <v>46</v>
      </c>
      <c r="G145" s="3" t="s">
        <v>83</v>
      </c>
      <c r="H145" s="3" t="s">
        <v>177</v>
      </c>
      <c r="I145" s="3" t="s">
        <v>83</v>
      </c>
      <c r="J145" s="3" t="s">
        <v>0</v>
      </c>
      <c r="K145" s="3">
        <v>358</v>
      </c>
      <c r="L145" s="42"/>
    </row>
    <row r="146" spans="1:12">
      <c r="A146">
        <v>144</v>
      </c>
      <c r="B146" t="s">
        <v>245</v>
      </c>
      <c r="C146" t="s">
        <v>264</v>
      </c>
      <c r="D146" s="3">
        <v>66</v>
      </c>
      <c r="E146" t="s">
        <v>197</v>
      </c>
      <c r="F146" s="3">
        <v>25</v>
      </c>
      <c r="G146" s="3" t="s">
        <v>83</v>
      </c>
      <c r="H146" s="3" t="s">
        <v>163</v>
      </c>
      <c r="I146" s="3" t="s">
        <v>83</v>
      </c>
      <c r="J146" s="3" t="s">
        <v>0</v>
      </c>
      <c r="K146" s="3">
        <v>364</v>
      </c>
      <c r="L146" s="42"/>
    </row>
    <row r="147" spans="1:12">
      <c r="A147">
        <v>145</v>
      </c>
      <c r="B147" t="s">
        <v>245</v>
      </c>
      <c r="C147" t="s">
        <v>265</v>
      </c>
      <c r="D147" s="3">
        <v>67</v>
      </c>
      <c r="E147" t="s">
        <v>195</v>
      </c>
      <c r="F147" s="3">
        <v>28</v>
      </c>
      <c r="G147" s="3" t="s">
        <v>73</v>
      </c>
      <c r="H147" s="3" t="s">
        <v>163</v>
      </c>
      <c r="I147" s="3" t="s">
        <v>83</v>
      </c>
      <c r="J147" s="3" t="s">
        <v>0</v>
      </c>
      <c r="K147" s="3">
        <v>369</v>
      </c>
      <c r="L147" s="42"/>
    </row>
    <row r="148" spans="1:12">
      <c r="A148">
        <v>146</v>
      </c>
      <c r="B148" t="s">
        <v>245</v>
      </c>
      <c r="C148" t="s">
        <v>266</v>
      </c>
      <c r="D148" s="3">
        <v>68</v>
      </c>
      <c r="E148" t="s">
        <v>197</v>
      </c>
      <c r="F148" s="3">
        <v>37</v>
      </c>
      <c r="G148" s="3" t="s">
        <v>83</v>
      </c>
      <c r="H148" s="3" t="s">
        <v>208</v>
      </c>
      <c r="I148" s="3" t="s">
        <v>83</v>
      </c>
      <c r="J148" s="3" t="s">
        <v>0</v>
      </c>
      <c r="K148" s="3">
        <v>376</v>
      </c>
      <c r="L148" s="42"/>
    </row>
    <row r="149" spans="1:12">
      <c r="A149">
        <v>147</v>
      </c>
      <c r="B149" t="s">
        <v>245</v>
      </c>
      <c r="C149" t="s">
        <v>267</v>
      </c>
      <c r="D149" s="3">
        <v>69</v>
      </c>
      <c r="E149" t="s">
        <v>197</v>
      </c>
      <c r="F149" s="3">
        <v>34</v>
      </c>
      <c r="G149" s="3" t="s">
        <v>83</v>
      </c>
      <c r="H149" s="3" t="s">
        <v>163</v>
      </c>
      <c r="I149" s="3" t="s">
        <v>83</v>
      </c>
      <c r="J149" s="3" t="s">
        <v>0</v>
      </c>
      <c r="K149" s="3">
        <v>384</v>
      </c>
      <c r="L149" s="42"/>
    </row>
    <row r="150" spans="1:12">
      <c r="A150">
        <v>148</v>
      </c>
      <c r="B150" t="s">
        <v>245</v>
      </c>
      <c r="C150" t="s">
        <v>268</v>
      </c>
      <c r="D150" s="3">
        <v>70</v>
      </c>
      <c r="E150" t="s">
        <v>197</v>
      </c>
      <c r="F150" s="3">
        <v>40</v>
      </c>
      <c r="G150" s="3" t="s">
        <v>83</v>
      </c>
      <c r="H150" s="3" t="s">
        <v>163</v>
      </c>
      <c r="I150" s="3" t="s">
        <v>83</v>
      </c>
      <c r="J150" s="3" t="s">
        <v>0</v>
      </c>
      <c r="K150" s="3">
        <v>390</v>
      </c>
      <c r="L150" s="42"/>
    </row>
    <row r="151" spans="1:12">
      <c r="A151">
        <v>149</v>
      </c>
      <c r="B151" t="s">
        <v>72</v>
      </c>
      <c r="C151" t="s">
        <v>269</v>
      </c>
      <c r="D151" s="3">
        <v>80</v>
      </c>
      <c r="E151" t="s">
        <v>197</v>
      </c>
      <c r="F151" s="3">
        <v>52</v>
      </c>
      <c r="G151" s="3" t="s">
        <v>83</v>
      </c>
      <c r="H151" s="3" t="s">
        <v>163</v>
      </c>
      <c r="I151" s="3" t="s">
        <v>83</v>
      </c>
      <c r="J151" s="3" t="s">
        <v>0</v>
      </c>
      <c r="K151" s="3">
        <v>464</v>
      </c>
      <c r="L151" s="42"/>
    </row>
    <row r="152" spans="1:12">
      <c r="A152">
        <v>150</v>
      </c>
      <c r="B152" t="s">
        <v>72</v>
      </c>
      <c r="C152" t="s">
        <v>270</v>
      </c>
      <c r="D152" s="3">
        <v>81</v>
      </c>
      <c r="E152" t="s">
        <v>197</v>
      </c>
      <c r="F152" s="3">
        <v>60</v>
      </c>
      <c r="G152" s="3" t="s">
        <v>73</v>
      </c>
      <c r="H152" s="3" t="s">
        <v>177</v>
      </c>
      <c r="I152" s="3" t="s">
        <v>73</v>
      </c>
      <c r="J152" s="3" t="s">
        <v>0</v>
      </c>
      <c r="K152" s="3">
        <v>473</v>
      </c>
      <c r="L152" s="42"/>
    </row>
    <row r="153" spans="1:12">
      <c r="A153">
        <v>151</v>
      </c>
      <c r="B153" t="s">
        <v>72</v>
      </c>
      <c r="C153" t="s">
        <v>271</v>
      </c>
      <c r="D153" s="3">
        <v>82</v>
      </c>
      <c r="E153" t="s">
        <v>197</v>
      </c>
      <c r="F153" s="3">
        <v>62</v>
      </c>
      <c r="G153" s="3" t="s">
        <v>73</v>
      </c>
      <c r="H153" s="3" t="s">
        <v>166</v>
      </c>
      <c r="I153" s="3" t="s">
        <v>73</v>
      </c>
      <c r="J153" s="3" t="s">
        <v>0</v>
      </c>
      <c r="K153" s="3">
        <v>478</v>
      </c>
      <c r="L153" s="42"/>
    </row>
    <row r="154" spans="1:12">
      <c r="A154">
        <v>152</v>
      </c>
      <c r="D154" s="3">
        <v>83</v>
      </c>
      <c r="E154" t="s">
        <v>197</v>
      </c>
      <c r="G154" s="3" t="s">
        <v>272</v>
      </c>
      <c r="H154" s="3" t="s">
        <v>272</v>
      </c>
      <c r="I154" s="3" t="s">
        <v>272</v>
      </c>
      <c r="J154" s="3" t="s">
        <v>272</v>
      </c>
      <c r="K154" s="3">
        <v>484</v>
      </c>
      <c r="L154" s="42"/>
    </row>
    <row r="155" spans="1:12">
      <c r="A155">
        <v>153</v>
      </c>
      <c r="B155" t="s">
        <v>72</v>
      </c>
      <c r="C155" t="s">
        <v>273</v>
      </c>
      <c r="D155" s="3">
        <v>85</v>
      </c>
      <c r="E155" t="s">
        <v>197</v>
      </c>
      <c r="F155" s="3">
        <v>48</v>
      </c>
      <c r="G155" s="3" t="s">
        <v>73</v>
      </c>
      <c r="H155" s="3" t="s">
        <v>177</v>
      </c>
      <c r="I155" s="3" t="s">
        <v>73</v>
      </c>
      <c r="J155" s="3" t="s">
        <v>0</v>
      </c>
      <c r="K155" s="3">
        <v>493</v>
      </c>
      <c r="L155" s="42"/>
    </row>
    <row r="156" spans="1:12">
      <c r="A156">
        <v>154</v>
      </c>
      <c r="B156" t="s">
        <v>72</v>
      </c>
      <c r="C156" t="s">
        <v>274</v>
      </c>
      <c r="D156" s="3">
        <v>87</v>
      </c>
      <c r="E156" t="s">
        <v>197</v>
      </c>
      <c r="F156" s="3">
        <v>26</v>
      </c>
      <c r="G156" s="3" t="s">
        <v>83</v>
      </c>
      <c r="H156" s="3" t="s">
        <v>163</v>
      </c>
      <c r="I156" s="3" t="s">
        <v>83</v>
      </c>
      <c r="J156" s="3" t="s">
        <v>0</v>
      </c>
      <c r="K156" s="3">
        <v>516</v>
      </c>
      <c r="L156" s="42"/>
    </row>
    <row r="157" spans="1:12">
      <c r="A157">
        <v>155</v>
      </c>
      <c r="B157" t="s">
        <v>72</v>
      </c>
      <c r="C157" t="s">
        <v>275</v>
      </c>
      <c r="D157" s="3">
        <v>89</v>
      </c>
      <c r="E157" t="s">
        <v>197</v>
      </c>
      <c r="F157" s="3">
        <v>35</v>
      </c>
      <c r="G157" s="3" t="s">
        <v>83</v>
      </c>
      <c r="H157" s="3" t="s">
        <v>163</v>
      </c>
      <c r="I157" s="3" t="s">
        <v>83</v>
      </c>
      <c r="J157" s="3" t="s">
        <v>0</v>
      </c>
      <c r="K157" s="3">
        <v>527</v>
      </c>
      <c r="L157" s="42"/>
    </row>
    <row r="158" spans="1:12">
      <c r="A158">
        <v>156</v>
      </c>
      <c r="B158" t="s">
        <v>72</v>
      </c>
      <c r="C158" t="s">
        <v>276</v>
      </c>
      <c r="D158" s="3">
        <v>90</v>
      </c>
      <c r="E158" t="s">
        <v>197</v>
      </c>
      <c r="F158" s="3">
        <v>53</v>
      </c>
      <c r="G158" s="3" t="s">
        <v>83</v>
      </c>
      <c r="H158" s="3" t="s">
        <v>163</v>
      </c>
      <c r="I158" s="3" t="s">
        <v>83</v>
      </c>
      <c r="J158" s="3" t="s">
        <v>0</v>
      </c>
      <c r="K158" s="3">
        <v>533</v>
      </c>
      <c r="L158" s="42"/>
    </row>
    <row r="159" spans="1:12">
      <c r="A159">
        <v>157</v>
      </c>
      <c r="B159" t="s">
        <v>72</v>
      </c>
      <c r="C159" t="s">
        <v>277</v>
      </c>
      <c r="D159" s="3">
        <v>91</v>
      </c>
      <c r="E159" t="s">
        <v>197</v>
      </c>
      <c r="F159" s="3">
        <v>50</v>
      </c>
      <c r="G159" s="3" t="s">
        <v>73</v>
      </c>
      <c r="H159" s="3" t="s">
        <v>177</v>
      </c>
      <c r="I159" s="3" t="s">
        <v>73</v>
      </c>
      <c r="J159" s="3" t="s">
        <v>0</v>
      </c>
      <c r="K159" s="3">
        <v>540</v>
      </c>
      <c r="L159" s="42"/>
    </row>
    <row r="160" spans="1:12">
      <c r="A160">
        <v>158</v>
      </c>
      <c r="B160" t="s">
        <v>72</v>
      </c>
      <c r="C160" t="s">
        <v>278</v>
      </c>
      <c r="D160" s="3">
        <v>92</v>
      </c>
      <c r="E160" t="s">
        <v>197</v>
      </c>
      <c r="F160" s="3">
        <v>42</v>
      </c>
      <c r="G160" s="3" t="s">
        <v>83</v>
      </c>
      <c r="H160" s="3" t="s">
        <v>166</v>
      </c>
      <c r="I160" s="3" t="s">
        <v>83</v>
      </c>
      <c r="J160" s="3" t="s">
        <v>18</v>
      </c>
      <c r="K160" s="3">
        <v>544</v>
      </c>
      <c r="L160" s="42"/>
    </row>
    <row r="161" spans="1:12">
      <c r="A161">
        <v>159</v>
      </c>
      <c r="B161" t="s">
        <v>72</v>
      </c>
      <c r="C161" t="s">
        <v>279</v>
      </c>
      <c r="D161" s="3">
        <v>93</v>
      </c>
      <c r="E161" t="s">
        <v>197</v>
      </c>
      <c r="F161" s="3">
        <v>60</v>
      </c>
      <c r="G161" s="3" t="s">
        <v>83</v>
      </c>
      <c r="H161" s="3" t="s">
        <v>163</v>
      </c>
      <c r="I161" s="3" t="s">
        <v>73</v>
      </c>
      <c r="J161" s="3" t="s">
        <v>18</v>
      </c>
      <c r="K161" s="3">
        <v>553</v>
      </c>
      <c r="L161" s="42"/>
    </row>
    <row r="162" spans="1:12">
      <c r="A162">
        <v>160</v>
      </c>
      <c r="B162" t="s">
        <v>72</v>
      </c>
      <c r="C162" t="s">
        <v>280</v>
      </c>
      <c r="D162" s="3">
        <v>94</v>
      </c>
      <c r="E162" t="s">
        <v>197</v>
      </c>
      <c r="F162" s="3">
        <v>23</v>
      </c>
      <c r="G162" s="3" t="s">
        <v>83</v>
      </c>
      <c r="H162" s="3" t="s">
        <v>163</v>
      </c>
      <c r="I162" s="3" t="s">
        <v>83</v>
      </c>
      <c r="J162" s="3" t="s">
        <v>18</v>
      </c>
      <c r="K162" s="3">
        <v>555</v>
      </c>
      <c r="L162" s="42"/>
    </row>
    <row r="163" spans="1:12">
      <c r="A163">
        <v>161</v>
      </c>
      <c r="B163" t="s">
        <v>72</v>
      </c>
      <c r="C163" t="s">
        <v>281</v>
      </c>
      <c r="D163" s="3">
        <v>95</v>
      </c>
      <c r="E163" t="s">
        <v>197</v>
      </c>
      <c r="F163" s="3">
        <v>29</v>
      </c>
      <c r="G163" s="3" t="s">
        <v>73</v>
      </c>
      <c r="H163" s="3" t="s">
        <v>163</v>
      </c>
      <c r="I163" s="3" t="s">
        <v>73</v>
      </c>
      <c r="J163" s="3" t="s">
        <v>18</v>
      </c>
      <c r="K163" s="3">
        <v>558</v>
      </c>
      <c r="L163" s="42"/>
    </row>
    <row r="164" spans="1:12">
      <c r="A164">
        <v>162</v>
      </c>
      <c r="B164" t="s">
        <v>77</v>
      </c>
      <c r="C164" t="s">
        <v>282</v>
      </c>
      <c r="D164" s="3">
        <v>96</v>
      </c>
      <c r="E164" t="s">
        <v>195</v>
      </c>
      <c r="F164" s="3">
        <v>34</v>
      </c>
      <c r="G164" s="3" t="s">
        <v>73</v>
      </c>
      <c r="H164" s="3" t="s">
        <v>163</v>
      </c>
      <c r="I164" s="3" t="s">
        <v>83</v>
      </c>
      <c r="J164" s="3" t="s">
        <v>0</v>
      </c>
      <c r="K164" s="3">
        <v>566</v>
      </c>
      <c r="L164" s="42"/>
    </row>
    <row r="165" spans="1:12">
      <c r="A165">
        <v>163</v>
      </c>
      <c r="B165" t="s">
        <v>77</v>
      </c>
      <c r="C165" t="s">
        <v>283</v>
      </c>
      <c r="D165" s="3">
        <v>97</v>
      </c>
      <c r="E165" t="s">
        <v>197</v>
      </c>
      <c r="F165" s="3">
        <v>42</v>
      </c>
      <c r="G165" s="3" t="s">
        <v>83</v>
      </c>
      <c r="H165" s="3" t="s">
        <v>163</v>
      </c>
      <c r="I165" s="3" t="s">
        <v>83</v>
      </c>
      <c r="J165" s="3" t="s">
        <v>0</v>
      </c>
      <c r="K165" s="3">
        <v>572</v>
      </c>
      <c r="L165" s="42"/>
    </row>
    <row r="166" spans="1:12">
      <c r="A166">
        <v>164</v>
      </c>
      <c r="B166" t="s">
        <v>77</v>
      </c>
      <c r="C166" t="s">
        <v>284</v>
      </c>
      <c r="D166" s="3">
        <v>98</v>
      </c>
      <c r="E166" t="s">
        <v>195</v>
      </c>
      <c r="F166" s="3">
        <v>27</v>
      </c>
      <c r="G166" s="3" t="s">
        <v>73</v>
      </c>
      <c r="H166" s="3" t="s">
        <v>163</v>
      </c>
      <c r="I166" s="3" t="s">
        <v>83</v>
      </c>
      <c r="J166" s="3" t="s">
        <v>0</v>
      </c>
      <c r="K166" s="3">
        <v>580</v>
      </c>
      <c r="L166" s="42"/>
    </row>
    <row r="167" spans="1:12">
      <c r="A167">
        <v>165</v>
      </c>
      <c r="B167" t="s">
        <v>77</v>
      </c>
      <c r="C167" t="s">
        <v>285</v>
      </c>
      <c r="D167" s="3">
        <v>99</v>
      </c>
      <c r="E167" t="s">
        <v>197</v>
      </c>
      <c r="F167" s="3">
        <v>62</v>
      </c>
      <c r="G167" s="3" t="s">
        <v>73</v>
      </c>
      <c r="H167" s="3" t="s">
        <v>177</v>
      </c>
      <c r="I167" s="3" t="s">
        <v>73</v>
      </c>
      <c r="J167" s="3" t="s">
        <v>0</v>
      </c>
      <c r="K167" s="3">
        <v>588</v>
      </c>
      <c r="L167" s="42"/>
    </row>
    <row r="168" spans="1:12">
      <c r="A168">
        <v>166</v>
      </c>
      <c r="B168" t="s">
        <v>77</v>
      </c>
      <c r="C168" t="s">
        <v>286</v>
      </c>
      <c r="D168" s="3">
        <v>100</v>
      </c>
      <c r="E168" t="s">
        <v>197</v>
      </c>
      <c r="F168" s="3">
        <v>27</v>
      </c>
      <c r="G168" s="3" t="s">
        <v>83</v>
      </c>
      <c r="H168" s="3" t="s">
        <v>163</v>
      </c>
      <c r="I168" s="3" t="s">
        <v>83</v>
      </c>
      <c r="J168" s="3" t="s">
        <v>0</v>
      </c>
      <c r="K168" s="3">
        <v>591</v>
      </c>
      <c r="L168" s="42"/>
    </row>
    <row r="169" spans="1:12">
      <c r="A169">
        <v>167</v>
      </c>
      <c r="B169" t="s">
        <v>77</v>
      </c>
      <c r="C169" t="s">
        <v>287</v>
      </c>
      <c r="D169" s="3">
        <v>101</v>
      </c>
      <c r="E169" t="s">
        <v>197</v>
      </c>
      <c r="F169" s="3">
        <v>62</v>
      </c>
      <c r="G169" s="3" t="s">
        <v>83</v>
      </c>
      <c r="H169" s="3" t="s">
        <v>163</v>
      </c>
      <c r="I169" s="3" t="s">
        <v>83</v>
      </c>
      <c r="J169" s="3" t="s">
        <v>0</v>
      </c>
      <c r="K169" s="3">
        <v>597</v>
      </c>
      <c r="L169" s="42"/>
    </row>
    <row r="170" spans="1:12">
      <c r="A170">
        <v>168</v>
      </c>
      <c r="B170" t="s">
        <v>77</v>
      </c>
      <c r="C170" t="s">
        <v>288</v>
      </c>
      <c r="D170" s="3">
        <v>102</v>
      </c>
      <c r="E170" t="s">
        <v>197</v>
      </c>
      <c r="F170" s="3">
        <v>45</v>
      </c>
      <c r="G170" s="3" t="s">
        <v>83</v>
      </c>
      <c r="H170" s="3" t="s">
        <v>163</v>
      </c>
      <c r="I170" s="3" t="s">
        <v>83</v>
      </c>
      <c r="J170" s="3" t="s">
        <v>0</v>
      </c>
      <c r="K170" s="3">
        <v>603</v>
      </c>
      <c r="L170" s="42"/>
    </row>
    <row r="171" spans="1:12">
      <c r="A171">
        <v>169</v>
      </c>
      <c r="B171" t="s">
        <v>77</v>
      </c>
      <c r="C171" t="s">
        <v>289</v>
      </c>
      <c r="D171" s="3">
        <v>103</v>
      </c>
      <c r="E171" t="s">
        <v>195</v>
      </c>
      <c r="F171" s="3">
        <v>30</v>
      </c>
      <c r="G171" s="3" t="s">
        <v>73</v>
      </c>
      <c r="H171" s="3" t="s">
        <v>163</v>
      </c>
      <c r="I171" s="3" t="s">
        <v>73</v>
      </c>
      <c r="J171" s="3" t="s">
        <v>0</v>
      </c>
      <c r="K171" s="3">
        <v>607</v>
      </c>
      <c r="L171" s="42"/>
    </row>
    <row r="172" spans="1:12">
      <c r="A172">
        <v>170</v>
      </c>
      <c r="B172" t="s">
        <v>77</v>
      </c>
      <c r="C172" t="s">
        <v>290</v>
      </c>
      <c r="D172" s="3">
        <v>104</v>
      </c>
      <c r="E172" t="s">
        <v>197</v>
      </c>
      <c r="F172" s="3">
        <v>40</v>
      </c>
      <c r="G172" s="3" t="s">
        <v>73</v>
      </c>
      <c r="H172" s="3" t="s">
        <v>177</v>
      </c>
      <c r="I172" s="3" t="s">
        <v>73</v>
      </c>
      <c r="J172" s="3" t="s">
        <v>0</v>
      </c>
      <c r="K172" s="3">
        <v>613</v>
      </c>
      <c r="L172" s="42"/>
    </row>
    <row r="173" spans="1:12">
      <c r="A173">
        <v>171</v>
      </c>
      <c r="B173" t="s">
        <v>77</v>
      </c>
      <c r="C173" t="s">
        <v>291</v>
      </c>
      <c r="D173" s="3">
        <v>105</v>
      </c>
      <c r="E173" t="s">
        <v>195</v>
      </c>
      <c r="F173" s="3">
        <v>30</v>
      </c>
      <c r="G173" s="3" t="s">
        <v>73</v>
      </c>
      <c r="H173" s="3" t="s">
        <v>163</v>
      </c>
      <c r="I173" s="3" t="s">
        <v>83</v>
      </c>
      <c r="J173" s="3" t="s">
        <v>0</v>
      </c>
      <c r="K173" s="3">
        <v>621</v>
      </c>
      <c r="L173" s="42"/>
    </row>
    <row r="174" spans="1:12">
      <c r="A174">
        <v>172</v>
      </c>
      <c r="B174" t="s">
        <v>77</v>
      </c>
      <c r="C174" t="s">
        <v>292</v>
      </c>
      <c r="D174" s="3">
        <v>106</v>
      </c>
      <c r="E174" t="s">
        <v>195</v>
      </c>
      <c r="F174" s="3">
        <v>24</v>
      </c>
      <c r="G174" s="3" t="s">
        <v>73</v>
      </c>
      <c r="H174" s="3" t="s">
        <v>163</v>
      </c>
      <c r="I174" s="3" t="s">
        <v>83</v>
      </c>
      <c r="J174" s="3" t="s">
        <v>0</v>
      </c>
      <c r="K174" s="3">
        <v>626</v>
      </c>
      <c r="L174" s="42"/>
    </row>
    <row r="175" spans="1:12">
      <c r="A175">
        <v>173</v>
      </c>
      <c r="B175" t="s">
        <v>77</v>
      </c>
      <c r="C175" t="s">
        <v>293</v>
      </c>
      <c r="D175" s="3">
        <v>107</v>
      </c>
      <c r="E175" t="s">
        <v>197</v>
      </c>
      <c r="F175" s="3">
        <v>36</v>
      </c>
      <c r="G175" s="3" t="s">
        <v>73</v>
      </c>
      <c r="H175" s="3" t="s">
        <v>166</v>
      </c>
      <c r="I175" s="3" t="s">
        <v>83</v>
      </c>
      <c r="J175" s="3" t="s">
        <v>0</v>
      </c>
      <c r="K175" s="3">
        <v>631</v>
      </c>
      <c r="L175" s="42"/>
    </row>
    <row r="176" spans="1:12">
      <c r="A176">
        <v>174</v>
      </c>
      <c r="B176" t="s">
        <v>77</v>
      </c>
      <c r="C176" t="s">
        <v>294</v>
      </c>
      <c r="D176" s="3">
        <v>108</v>
      </c>
      <c r="E176" t="s">
        <v>197</v>
      </c>
      <c r="F176" s="3">
        <v>35</v>
      </c>
      <c r="G176" s="3" t="s">
        <v>83</v>
      </c>
      <c r="H176" s="3" t="s">
        <v>163</v>
      </c>
      <c r="I176" s="3" t="s">
        <v>83</v>
      </c>
      <c r="J176" s="3" t="s">
        <v>0</v>
      </c>
      <c r="K176" s="3">
        <v>640</v>
      </c>
      <c r="L176" s="42"/>
    </row>
    <row r="177" spans="1:12">
      <c r="A177">
        <v>175</v>
      </c>
      <c r="D177" s="3">
        <v>109</v>
      </c>
      <c r="E177" t="s">
        <v>200</v>
      </c>
      <c r="G177" s="3" t="s">
        <v>272</v>
      </c>
      <c r="H177" s="3" t="s">
        <v>272</v>
      </c>
      <c r="I177" s="3" t="s">
        <v>272</v>
      </c>
      <c r="J177" s="3" t="s">
        <v>272</v>
      </c>
      <c r="K177" s="3">
        <v>650</v>
      </c>
      <c r="L177" s="42"/>
    </row>
    <row r="178" spans="1:12">
      <c r="A178">
        <v>176</v>
      </c>
      <c r="B178" t="s">
        <v>77</v>
      </c>
      <c r="C178" t="s">
        <v>295</v>
      </c>
      <c r="D178" s="3">
        <v>110</v>
      </c>
      <c r="E178" t="s">
        <v>197</v>
      </c>
      <c r="F178" s="3">
        <v>54</v>
      </c>
      <c r="G178" s="3" t="s">
        <v>73</v>
      </c>
      <c r="H178" s="3" t="s">
        <v>177</v>
      </c>
      <c r="I178" s="3" t="s">
        <v>73</v>
      </c>
      <c r="J178" s="3" t="s">
        <v>0</v>
      </c>
      <c r="K178" s="3">
        <v>653</v>
      </c>
      <c r="L178" s="42"/>
    </row>
    <row r="179" spans="1:12">
      <c r="A179">
        <v>177</v>
      </c>
      <c r="B179" t="s">
        <v>77</v>
      </c>
      <c r="C179" t="s">
        <v>296</v>
      </c>
      <c r="D179" s="3">
        <v>111</v>
      </c>
      <c r="E179" t="s">
        <v>197</v>
      </c>
      <c r="F179" s="3">
        <v>70</v>
      </c>
      <c r="G179" s="3" t="s">
        <v>83</v>
      </c>
      <c r="H179" s="3" t="s">
        <v>208</v>
      </c>
      <c r="I179" s="3" t="s">
        <v>83</v>
      </c>
      <c r="J179" s="3" t="s">
        <v>0</v>
      </c>
      <c r="K179" s="3">
        <v>659</v>
      </c>
      <c r="L179" s="42"/>
    </row>
    <row r="180" spans="1:12">
      <c r="A180">
        <v>178</v>
      </c>
      <c r="B180" t="s">
        <v>77</v>
      </c>
      <c r="C180" t="s">
        <v>297</v>
      </c>
      <c r="D180" s="3">
        <v>112</v>
      </c>
      <c r="E180" t="s">
        <v>197</v>
      </c>
      <c r="F180" s="3">
        <v>30</v>
      </c>
      <c r="G180" s="3" t="s">
        <v>73</v>
      </c>
      <c r="H180" s="3" t="s">
        <v>177</v>
      </c>
      <c r="I180" s="3" t="s">
        <v>73</v>
      </c>
      <c r="J180" s="3" t="s">
        <v>0</v>
      </c>
      <c r="K180" s="3">
        <v>668</v>
      </c>
      <c r="L180" s="42"/>
    </row>
    <row r="181" spans="1:12">
      <c r="A181">
        <v>179</v>
      </c>
      <c r="B181" t="s">
        <v>77</v>
      </c>
      <c r="C181" t="s">
        <v>298</v>
      </c>
      <c r="D181" s="3">
        <v>113</v>
      </c>
      <c r="E181" t="s">
        <v>197</v>
      </c>
      <c r="F181" s="3">
        <v>19</v>
      </c>
      <c r="G181" s="3" t="s">
        <v>73</v>
      </c>
      <c r="H181" s="3" t="s">
        <v>163</v>
      </c>
      <c r="I181" s="3" t="s">
        <v>83</v>
      </c>
      <c r="J181" s="3" t="s">
        <v>0</v>
      </c>
      <c r="K181" s="3">
        <v>674</v>
      </c>
      <c r="L181" s="42"/>
    </row>
    <row r="182" spans="1:12">
      <c r="A182">
        <v>180</v>
      </c>
      <c r="B182" t="s">
        <v>77</v>
      </c>
      <c r="C182" t="s">
        <v>299</v>
      </c>
      <c r="D182" s="3">
        <v>114</v>
      </c>
      <c r="E182" t="s">
        <v>197</v>
      </c>
      <c r="F182" s="3">
        <v>45</v>
      </c>
      <c r="G182" s="3" t="s">
        <v>73</v>
      </c>
      <c r="H182" s="3" t="s">
        <v>177</v>
      </c>
      <c r="I182" s="3" t="s">
        <v>73</v>
      </c>
      <c r="J182" s="3" t="s">
        <v>0</v>
      </c>
      <c r="K182" s="3">
        <v>677</v>
      </c>
      <c r="L182" s="42"/>
    </row>
    <row r="183" spans="1:12">
      <c r="A183">
        <v>181</v>
      </c>
      <c r="B183" t="s">
        <v>77</v>
      </c>
      <c r="C183" t="s">
        <v>300</v>
      </c>
      <c r="D183" s="3">
        <v>115</v>
      </c>
      <c r="E183" t="s">
        <v>195</v>
      </c>
      <c r="F183" s="3">
        <v>30</v>
      </c>
      <c r="G183" s="3" t="s">
        <v>73</v>
      </c>
      <c r="H183" s="3" t="s">
        <v>163</v>
      </c>
      <c r="I183" s="3" t="s">
        <v>83</v>
      </c>
      <c r="J183" s="3" t="s">
        <v>0</v>
      </c>
      <c r="K183" s="3">
        <v>685</v>
      </c>
      <c r="L183" s="42"/>
    </row>
  </sheetData>
  <mergeCells count="14">
    <mergeCell ref="M1:M2"/>
    <mergeCell ref="N1:N2"/>
    <mergeCell ref="O1:O2"/>
    <mergeCell ref="A1:A2"/>
    <mergeCell ref="B1:B2"/>
    <mergeCell ref="C1:C2"/>
    <mergeCell ref="D1:D2"/>
    <mergeCell ref="K1:K2"/>
    <mergeCell ref="L83:L183"/>
    <mergeCell ref="L3:L82"/>
    <mergeCell ref="F1:H1"/>
    <mergeCell ref="I1:J1"/>
    <mergeCell ref="E1:E2"/>
    <mergeCell ref="L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619A-26F9-C840-8B39-B27AA03D6787}">
  <sheetPr>
    <tabColor theme="9"/>
  </sheetPr>
  <dimension ref="A1:E29"/>
  <sheetViews>
    <sheetView workbookViewId="0">
      <selection activeCell="K47" sqref="K47"/>
    </sheetView>
  </sheetViews>
  <sheetFormatPr defaultColWidth="11.140625" defaultRowHeight="12.95"/>
  <cols>
    <col min="1" max="1" width="11.42578125" bestFit="1" customWidth="1"/>
    <col min="2" max="2" width="29.140625" customWidth="1"/>
    <col min="3" max="3" width="20" customWidth="1"/>
    <col min="4" max="4" width="28.42578125" customWidth="1"/>
  </cols>
  <sheetData>
    <row r="1" spans="1:5">
      <c r="A1" s="28" t="s">
        <v>3</v>
      </c>
      <c r="B1" s="28" t="s">
        <v>147</v>
      </c>
      <c r="C1" s="28" t="s">
        <v>301</v>
      </c>
      <c r="D1" s="28" t="s">
        <v>302</v>
      </c>
      <c r="E1" s="28" t="s">
        <v>303</v>
      </c>
    </row>
    <row r="2" spans="1:5">
      <c r="A2" t="s">
        <v>304</v>
      </c>
      <c r="B2" t="s">
        <v>305</v>
      </c>
      <c r="C2" t="s">
        <v>306</v>
      </c>
      <c r="D2" t="s">
        <v>307</v>
      </c>
    </row>
    <row r="3" spans="1:5">
      <c r="A3" t="s">
        <v>241</v>
      </c>
      <c r="B3" t="s">
        <v>308</v>
      </c>
      <c r="C3" t="s">
        <v>309</v>
      </c>
      <c r="D3" t="s">
        <v>309</v>
      </c>
    </row>
    <row r="4" spans="1:5">
      <c r="A4" t="s">
        <v>310</v>
      </c>
      <c r="B4" t="s">
        <v>22</v>
      </c>
      <c r="C4" t="s">
        <v>311</v>
      </c>
      <c r="D4" t="s">
        <v>312</v>
      </c>
    </row>
    <row r="5" spans="1:5">
      <c r="A5" t="s">
        <v>313</v>
      </c>
      <c r="B5" t="s">
        <v>305</v>
      </c>
      <c r="C5" t="s">
        <v>311</v>
      </c>
      <c r="D5" t="s">
        <v>311</v>
      </c>
    </row>
    <row r="6" spans="1:5">
      <c r="A6" t="s">
        <v>172</v>
      </c>
      <c r="B6" t="s">
        <v>314</v>
      </c>
      <c r="C6" t="s">
        <v>315</v>
      </c>
      <c r="D6" t="s">
        <v>316</v>
      </c>
    </row>
    <row r="7" spans="1:5">
      <c r="A7" t="s">
        <v>317</v>
      </c>
      <c r="B7" t="s">
        <v>59</v>
      </c>
      <c r="C7" t="s">
        <v>318</v>
      </c>
      <c r="D7" t="s">
        <v>319</v>
      </c>
    </row>
    <row r="8" spans="1:5">
      <c r="A8" t="s">
        <v>320</v>
      </c>
      <c r="B8" t="s">
        <v>305</v>
      </c>
      <c r="C8" t="s">
        <v>321</v>
      </c>
      <c r="D8" t="s">
        <v>321</v>
      </c>
    </row>
    <row r="9" spans="1:5">
      <c r="A9" t="s">
        <v>220</v>
      </c>
      <c r="B9" t="s">
        <v>322</v>
      </c>
      <c r="C9" t="s">
        <v>315</v>
      </c>
      <c r="D9" t="s">
        <v>323</v>
      </c>
    </row>
    <row r="10" spans="1:5">
      <c r="A10" t="s">
        <v>324</v>
      </c>
      <c r="B10" t="s">
        <v>308</v>
      </c>
      <c r="C10" t="s">
        <v>325</v>
      </c>
      <c r="D10" t="s">
        <v>323</v>
      </c>
    </row>
    <row r="11" spans="1:5">
      <c r="A11" t="s">
        <v>300</v>
      </c>
      <c r="B11" t="s">
        <v>326</v>
      </c>
      <c r="C11" t="s">
        <v>327</v>
      </c>
      <c r="D11" t="s">
        <v>328</v>
      </c>
    </row>
    <row r="12" spans="1:5">
      <c r="A12" t="s">
        <v>329</v>
      </c>
      <c r="B12" t="s">
        <v>305</v>
      </c>
      <c r="C12" t="s">
        <v>330</v>
      </c>
      <c r="D12" t="s">
        <v>331</v>
      </c>
    </row>
    <row r="13" spans="1:5">
      <c r="A13" t="s">
        <v>332</v>
      </c>
      <c r="B13" t="s">
        <v>333</v>
      </c>
      <c r="C13" t="s">
        <v>330</v>
      </c>
      <c r="D13" t="s">
        <v>331</v>
      </c>
    </row>
    <row r="14" spans="1:5">
      <c r="A14" t="s">
        <v>334</v>
      </c>
      <c r="B14" t="s">
        <v>335</v>
      </c>
      <c r="C14" t="s">
        <v>336</v>
      </c>
      <c r="D14" t="s">
        <v>337</v>
      </c>
    </row>
    <row r="15" spans="1:5">
      <c r="A15" t="s">
        <v>170</v>
      </c>
      <c r="B15" t="s">
        <v>314</v>
      </c>
      <c r="C15" t="s">
        <v>338</v>
      </c>
      <c r="D15" t="s">
        <v>338</v>
      </c>
    </row>
    <row r="16" spans="1:5">
      <c r="A16" t="s">
        <v>339</v>
      </c>
      <c r="B16" t="s">
        <v>335</v>
      </c>
      <c r="C16" t="s">
        <v>340</v>
      </c>
      <c r="D16" t="s">
        <v>340</v>
      </c>
    </row>
    <row r="17" spans="1:4">
      <c r="A17" t="s">
        <v>341</v>
      </c>
      <c r="B17" t="s">
        <v>305</v>
      </c>
      <c r="C17" t="s">
        <v>342</v>
      </c>
      <c r="D17" t="s">
        <v>343</v>
      </c>
    </row>
    <row r="18" spans="1:4">
      <c r="A18" t="s">
        <v>344</v>
      </c>
      <c r="B18" t="s">
        <v>305</v>
      </c>
      <c r="C18" t="s">
        <v>342</v>
      </c>
      <c r="D18" t="s">
        <v>343</v>
      </c>
    </row>
    <row r="19" spans="1:4">
      <c r="A19" t="s">
        <v>345</v>
      </c>
      <c r="B19" t="s">
        <v>305</v>
      </c>
      <c r="C19" t="s">
        <v>343</v>
      </c>
      <c r="D19" t="s">
        <v>343</v>
      </c>
    </row>
    <row r="20" spans="1:4">
      <c r="A20" t="s">
        <v>346</v>
      </c>
      <c r="B20" t="s">
        <v>347</v>
      </c>
      <c r="C20" t="s">
        <v>342</v>
      </c>
      <c r="D20" t="s">
        <v>343</v>
      </c>
    </row>
    <row r="21" spans="1:4">
      <c r="A21" t="s">
        <v>348</v>
      </c>
      <c r="B21" t="s">
        <v>305</v>
      </c>
      <c r="C21" t="s">
        <v>315</v>
      </c>
      <c r="D21" t="s">
        <v>343</v>
      </c>
    </row>
    <row r="22" spans="1:4">
      <c r="A22" t="s">
        <v>349</v>
      </c>
      <c r="B22" t="s">
        <v>347</v>
      </c>
      <c r="C22" t="s">
        <v>342</v>
      </c>
      <c r="D22" t="s">
        <v>350</v>
      </c>
    </row>
    <row r="23" spans="1:4">
      <c r="A23" t="s">
        <v>351</v>
      </c>
      <c r="B23" t="s">
        <v>352</v>
      </c>
      <c r="C23" t="s">
        <v>342</v>
      </c>
      <c r="D23" t="s">
        <v>342</v>
      </c>
    </row>
    <row r="24" spans="1:4">
      <c r="A24" t="s">
        <v>353</v>
      </c>
      <c r="B24" t="s">
        <v>305</v>
      </c>
      <c r="C24" t="s">
        <v>342</v>
      </c>
      <c r="D24" t="s">
        <v>342</v>
      </c>
    </row>
    <row r="25" spans="1:4">
      <c r="A25" t="s">
        <v>237</v>
      </c>
      <c r="B25" t="s">
        <v>308</v>
      </c>
      <c r="C25" t="s">
        <v>342</v>
      </c>
      <c r="D25" t="s">
        <v>342</v>
      </c>
    </row>
    <row r="26" spans="1:4">
      <c r="A26" t="s">
        <v>127</v>
      </c>
      <c r="B26" t="s">
        <v>322</v>
      </c>
      <c r="C26" t="s">
        <v>336</v>
      </c>
      <c r="D26" t="s">
        <v>336</v>
      </c>
    </row>
    <row r="27" spans="1:4">
      <c r="A27" t="s">
        <v>242</v>
      </c>
      <c r="B27" t="s">
        <v>308</v>
      </c>
      <c r="C27" t="s">
        <v>354</v>
      </c>
      <c r="D27" t="s">
        <v>354</v>
      </c>
    </row>
    <row r="28" spans="1:4">
      <c r="A28" t="s">
        <v>355</v>
      </c>
      <c r="B28" t="s">
        <v>308</v>
      </c>
      <c r="C28" t="s">
        <v>356</v>
      </c>
      <c r="D28" t="s">
        <v>354</v>
      </c>
    </row>
    <row r="29" spans="1:4">
      <c r="A29" t="s">
        <v>357</v>
      </c>
      <c r="B29" t="s">
        <v>305</v>
      </c>
      <c r="C29" t="s">
        <v>358</v>
      </c>
      <c r="D29" t="s">
        <v>359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5AB19-3A60-4CA8-851C-DF71093FDC89}"/>
</file>

<file path=customXml/itemProps2.xml><?xml version="1.0" encoding="utf-8"?>
<ds:datastoreItem xmlns:ds="http://schemas.openxmlformats.org/officeDocument/2006/customXml" ds:itemID="{13E2DC8E-4737-4CEE-895A-0F756A6DEC3C}"/>
</file>

<file path=customXml/itemProps3.xml><?xml version="1.0" encoding="utf-8"?>
<ds:datastoreItem xmlns:ds="http://schemas.openxmlformats.org/officeDocument/2006/customXml" ds:itemID="{61342246-8DE6-43E8-8FBB-6CD603D18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Joel KAMOUN</cp:lastModifiedBy>
  <cp:revision/>
  <dcterms:created xsi:type="dcterms:W3CDTF">2023-05-15T14:48:37Z</dcterms:created>
  <dcterms:modified xsi:type="dcterms:W3CDTF">2023-10-01T08:48:00Z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