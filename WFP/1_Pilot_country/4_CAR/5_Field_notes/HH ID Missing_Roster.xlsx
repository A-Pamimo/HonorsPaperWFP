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3_Sampling/"/>
    </mc:Choice>
  </mc:AlternateContent>
  <xr:revisionPtr revIDLastSave="4" documentId="8_{0304BF23-76BC-4741-BA3F-0C2B0BC76B69}" xr6:coauthVersionLast="47" xr6:coauthVersionMax="47" xr10:uidLastSave="{3EA6BD10-5E50-49D4-ADD5-6A6CC9A790B2}"/>
  <bookViews>
    <workbookView xWindow="-110" yWindow="-110" windowWidth="19420" windowHeight="11620" xr2:uid="{567BC0EE-BBC7-48C0-B9B7-0181329039C4}"/>
  </bookViews>
  <sheets>
    <sheet name="HH ID Missing Roster" sheetId="2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4" i="2"/>
  <c r="G15" i="2"/>
  <c r="F15" i="2"/>
  <c r="C15" i="2"/>
  <c r="B15" i="2"/>
  <c r="G14" i="2"/>
  <c r="F14" i="2"/>
  <c r="C14" i="2"/>
  <c r="B14" i="2"/>
  <c r="G13" i="2"/>
  <c r="F13" i="2"/>
  <c r="C13" i="2"/>
  <c r="B13" i="2"/>
  <c r="G12" i="2"/>
  <c r="F12" i="2"/>
  <c r="C12" i="2"/>
  <c r="B12" i="2"/>
  <c r="G11" i="2"/>
  <c r="F11" i="2"/>
  <c r="C11" i="2"/>
  <c r="B11" i="2"/>
  <c r="G10" i="2"/>
  <c r="F10" i="2"/>
  <c r="C10" i="2"/>
  <c r="B10" i="2"/>
  <c r="G9" i="2"/>
  <c r="F9" i="2"/>
  <c r="C9" i="2"/>
  <c r="B9" i="2"/>
  <c r="G8" i="2"/>
  <c r="F8" i="2"/>
  <c r="C8" i="2"/>
  <c r="B8" i="2"/>
  <c r="G7" i="2"/>
  <c r="F7" i="2"/>
  <c r="C7" i="2"/>
  <c r="B7" i="2"/>
  <c r="G6" i="2"/>
  <c r="F6" i="2"/>
  <c r="C6" i="2"/>
  <c r="B6" i="2"/>
  <c r="G5" i="2"/>
  <c r="F5" i="2"/>
  <c r="C5" i="2"/>
  <c r="B5" i="2"/>
  <c r="G4" i="2"/>
  <c r="F4" i="2"/>
  <c r="C4" i="2"/>
  <c r="B4" i="2"/>
  <c r="G3" i="2"/>
  <c r="F3" i="2"/>
  <c r="C3" i="2"/>
  <c r="B3" i="2"/>
</calcChain>
</file>

<file path=xl/sharedStrings.xml><?xml version="1.0" encoding="utf-8"?>
<sst xmlns="http://schemas.openxmlformats.org/spreadsheetml/2006/main" count="426" uniqueCount="120">
  <si>
    <t>No.</t>
  </si>
  <si>
    <t>Enumerator</t>
  </si>
  <si>
    <t>HHID</t>
  </si>
  <si>
    <t>HH_Index</t>
  </si>
  <si>
    <t>PRelationHHH Answered in Roster Dataset</t>
  </si>
  <si>
    <t>Information about respondent in Main</t>
  </si>
  <si>
    <t>___index in Roster Dataset</t>
  </si>
  <si>
    <t>RESPAge</t>
  </si>
  <si>
    <t>RESPSex</t>
  </si>
  <si>
    <t>Spouse/partner</t>
  </si>
  <si>
    <t>Brother/sister</t>
  </si>
  <si>
    <t>Son/daughter</t>
  </si>
  <si>
    <t>Head of household</t>
  </si>
  <si>
    <t>BAGUIWE Aaron</t>
  </si>
  <si>
    <t>CAR210357</t>
  </si>
  <si>
    <t>Female</t>
  </si>
  <si>
    <t>CAR210359</t>
  </si>
  <si>
    <t>CAR2101280</t>
  </si>
  <si>
    <t>CAR210378</t>
  </si>
  <si>
    <t>Male</t>
  </si>
  <si>
    <t>CAR2101264</t>
  </si>
  <si>
    <t>CAR2101268</t>
  </si>
  <si>
    <t>CAR2101269</t>
  </si>
  <si>
    <t>CAR210214</t>
  </si>
  <si>
    <t>CAR210400</t>
  </si>
  <si>
    <t>CAR2101284</t>
  </si>
  <si>
    <t>CAR2101301</t>
  </si>
  <si>
    <t>CAR2101285</t>
  </si>
  <si>
    <t>CAR210396</t>
  </si>
  <si>
    <t>CAR2101299</t>
  </si>
  <si>
    <t>CAR210408</t>
  </si>
  <si>
    <t>CAR210397</t>
  </si>
  <si>
    <t>CAR2101298</t>
  </si>
  <si>
    <t>CAR2101371</t>
  </si>
  <si>
    <t>CAR2101372</t>
  </si>
  <si>
    <t>CAR2101383</t>
  </si>
  <si>
    <t>CAR210471</t>
  </si>
  <si>
    <t>CAR2101374</t>
  </si>
  <si>
    <t>TOUTOU Alain</t>
  </si>
  <si>
    <t>CAR2101273</t>
  </si>
  <si>
    <t>CAR210380</t>
  </si>
  <si>
    <t>CAR210381</t>
  </si>
  <si>
    <t>CAR2101266</t>
  </si>
  <si>
    <t>CAR210369</t>
  </si>
  <si>
    <t>CAR210370</t>
  </si>
  <si>
    <t>CAR210368</t>
  </si>
  <si>
    <t>CAR2101303</t>
  </si>
  <si>
    <t>CAR210401</t>
  </si>
  <si>
    <t>CAR2101305</t>
  </si>
  <si>
    <t>CAR2101070</t>
  </si>
  <si>
    <t>CAR210385</t>
  </si>
  <si>
    <t>CAR2101297</t>
  </si>
  <si>
    <t>CAR210395</t>
  </si>
  <si>
    <t>CAR210394</t>
  </si>
  <si>
    <t>CAR210398</t>
  </si>
  <si>
    <t>CAR210407</t>
  </si>
  <si>
    <t>CAR2101296</t>
  </si>
  <si>
    <t>CAR210467</t>
  </si>
  <si>
    <t>CAR210465</t>
  </si>
  <si>
    <t>CAR2101365</t>
  </si>
  <si>
    <t>CAR2101366</t>
  </si>
  <si>
    <t>CAR2101367</t>
  </si>
  <si>
    <t>BEYO Serge Olivier</t>
  </si>
  <si>
    <t>CAR2101261</t>
  </si>
  <si>
    <t>CAR210367</t>
  </si>
  <si>
    <t>CAR2101274</t>
  </si>
  <si>
    <t>CAR210377</t>
  </si>
  <si>
    <t>CAR2101276</t>
  </si>
  <si>
    <t>CAR210361</t>
  </si>
  <si>
    <t>CAR2101275</t>
  </si>
  <si>
    <t>CAR210365</t>
  </si>
  <si>
    <t>CAR210403</t>
  </si>
  <si>
    <t>CAR210402</t>
  </si>
  <si>
    <t>CAR2101289</t>
  </si>
  <si>
    <t>CAR2101290</t>
  </si>
  <si>
    <t>CAR2101288</t>
  </si>
  <si>
    <t>CAR210390</t>
  </si>
  <si>
    <t>CAR210404</t>
  </si>
  <si>
    <t>CAR2101307</t>
  </si>
  <si>
    <t>CAR210389</t>
  </si>
  <si>
    <t>CAR2101306</t>
  </si>
  <si>
    <t>CAR210470</t>
  </si>
  <si>
    <t>CAR210468</t>
  </si>
  <si>
    <t>CAR2101370</t>
  </si>
  <si>
    <t>CAR2101369</t>
  </si>
  <si>
    <t>CAR210469</t>
  </si>
  <si>
    <t>FROKOM Brillant</t>
  </si>
  <si>
    <t>CAR210383</t>
  </si>
  <si>
    <t>CAR2101287</t>
  </si>
  <si>
    <t>CAR210384</t>
  </si>
  <si>
    <t>CAR2101286</t>
  </si>
  <si>
    <t>CAR210393</t>
  </si>
  <si>
    <t>CAR210392</t>
  </si>
  <si>
    <t>CAR210406</t>
  </si>
  <si>
    <t>CAR210391</t>
  </si>
  <si>
    <t>CAR2101364</t>
  </si>
  <si>
    <t>CAR2101382</t>
  </si>
  <si>
    <t>CAR2101362</t>
  </si>
  <si>
    <t>CAR2101363</t>
  </si>
  <si>
    <t>CAR210462</t>
  </si>
  <si>
    <t>GOUNOUMOUNDJOU Simplice</t>
  </si>
  <si>
    <t>CAR210366</t>
  </si>
  <si>
    <t>CAR2101267</t>
  </si>
  <si>
    <t>CAR210379</t>
  </si>
  <si>
    <t>CAR210358</t>
  </si>
  <si>
    <t>CAR210388</t>
  </si>
  <si>
    <t>CAR2101291</t>
  </si>
  <si>
    <t>CAR2101292</t>
  </si>
  <si>
    <t>CAR2101293</t>
  </si>
  <si>
    <t>CAR2101294</t>
  </si>
  <si>
    <t>CAR2101304</t>
  </si>
  <si>
    <t>CAR210386</t>
  </si>
  <si>
    <t>CAR210399</t>
  </si>
  <si>
    <t>CAR2101302</t>
  </si>
  <si>
    <t>CAR2101300</t>
  </si>
  <si>
    <t>CAR210474</t>
  </si>
  <si>
    <t>CAR210473</t>
  </si>
  <si>
    <t>CAR2101376</t>
  </si>
  <si>
    <t>CAR2101377</t>
  </si>
  <si>
    <t>CAR2101378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</si>
</sst>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 applyAlignment="1">
      <alignment horizontal="center"/>
    </xf>
    <xf numFmtId="0" fontId="0" fillId="3" borderId="0" xfId="0" applyFill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sites/NeedsAssessmentsTeam/Shared%20Documents/General/01.%20Food%20security%20assessments/1.3%20Research%20&amp;%20Reviews/2_CARI_validation/1_rCARI_study/1_Pilot_country/4_CAR/5_Field_notes/CAR_Error_Logs.xlsx?94DB1794" TargetMode="External"/><Relationship Id="rId1" Type="http://schemas.openxmlformats.org/officeDocument/2006/relationships/externalLinkPath" Target="file:///\\94DB1794\CAR_Error_Lo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ror Log"/>
      <sheetName val="Duplicates"/>
      <sheetName val="Roster Error"/>
      <sheetName val="Missing Roster"/>
      <sheetName val="Other Specify Clarifications"/>
    </sheetNames>
    <sheetDataSet>
      <sheetData sheetId="0"/>
      <sheetData sheetId="1"/>
      <sheetData sheetId="2">
        <row r="2">
          <cell r="A2">
            <v>3</v>
          </cell>
          <cell r="B2" t="str">
            <v>CAR2101279</v>
          </cell>
          <cell r="C2" t="str">
            <v>BAGUIWE Aaron</v>
          </cell>
          <cell r="D2">
            <v>50</v>
          </cell>
          <cell r="E2" t="str">
            <v>Female</v>
          </cell>
          <cell r="F2" t="str">
            <v>Single</v>
          </cell>
          <cell r="G2" t="str">
            <v>Male</v>
          </cell>
          <cell r="H2" t="str">
            <v>No</v>
          </cell>
        </row>
        <row r="3">
          <cell r="A3">
            <v>25</v>
          </cell>
          <cell r="B3" t="str">
            <v>CAR2101283</v>
          </cell>
          <cell r="C3" t="str">
            <v>TOUTOU Alain</v>
          </cell>
          <cell r="D3">
            <v>28</v>
          </cell>
          <cell r="E3" t="str">
            <v>Female</v>
          </cell>
          <cell r="F3" t="str">
            <v>Single</v>
          </cell>
          <cell r="G3" t="str">
            <v>Female</v>
          </cell>
          <cell r="H3" t="str">
            <v>No</v>
          </cell>
        </row>
        <row r="4">
          <cell r="A4">
            <v>71</v>
          </cell>
          <cell r="B4" t="str">
            <v>CAR2101271</v>
          </cell>
          <cell r="C4" t="str">
            <v>FROKOM Brillant</v>
          </cell>
          <cell r="D4">
            <v>40</v>
          </cell>
          <cell r="E4" t="str">
            <v>Male</v>
          </cell>
          <cell r="F4" t="str">
            <v>Cohabitating</v>
          </cell>
          <cell r="G4" t="str">
            <v>Male</v>
          </cell>
          <cell r="H4" t="str">
            <v>No</v>
          </cell>
        </row>
        <row r="5">
          <cell r="A5">
            <v>72</v>
          </cell>
          <cell r="B5" t="str">
            <v>CAR2101270</v>
          </cell>
          <cell r="C5" t="str">
            <v>FROKOM Brillant</v>
          </cell>
          <cell r="D5">
            <v>19</v>
          </cell>
          <cell r="E5" t="str">
            <v>Female</v>
          </cell>
          <cell r="F5" t="str">
            <v>Divorced/Separated</v>
          </cell>
          <cell r="G5" t="str">
            <v>Male</v>
          </cell>
          <cell r="H5" t="str">
            <v>No</v>
          </cell>
        </row>
        <row r="6">
          <cell r="A6">
            <v>73</v>
          </cell>
          <cell r="B6" t="str">
            <v>CAR210372</v>
          </cell>
          <cell r="C6" t="str">
            <v>FROKOM Brillant</v>
          </cell>
          <cell r="D6">
            <v>40</v>
          </cell>
          <cell r="E6" t="str">
            <v>Male</v>
          </cell>
          <cell r="F6" t="str">
            <v>Cohabitating</v>
          </cell>
          <cell r="G6" t="str">
            <v>Male</v>
          </cell>
          <cell r="H6" t="str">
            <v>No</v>
          </cell>
        </row>
        <row r="7">
          <cell r="A7">
            <v>74</v>
          </cell>
          <cell r="B7" t="str">
            <v>CAR2101272</v>
          </cell>
          <cell r="C7" t="str">
            <v>FROKOM Brillant</v>
          </cell>
          <cell r="D7">
            <v>46</v>
          </cell>
          <cell r="E7" t="str">
            <v>Male</v>
          </cell>
          <cell r="F7" t="str">
            <v>Cohabitating</v>
          </cell>
          <cell r="G7" t="str">
            <v>Male</v>
          </cell>
          <cell r="H7" t="str">
            <v>No</v>
          </cell>
        </row>
        <row r="8">
          <cell r="A8">
            <v>75</v>
          </cell>
          <cell r="B8" t="str">
            <v>CAR2101262</v>
          </cell>
          <cell r="C8" t="str">
            <v>FROKOM Brillant</v>
          </cell>
          <cell r="D8">
            <v>35</v>
          </cell>
          <cell r="E8" t="str">
            <v>Female</v>
          </cell>
          <cell r="F8" t="str">
            <v>Cohabitating</v>
          </cell>
          <cell r="G8" t="str">
            <v>Male</v>
          </cell>
          <cell r="H8" t="str">
            <v>Yes</v>
          </cell>
        </row>
        <row r="9">
          <cell r="A9">
            <v>76</v>
          </cell>
          <cell r="B9" t="str">
            <v>CAR210362</v>
          </cell>
          <cell r="C9" t="str">
            <v>FROKOM Brillant</v>
          </cell>
          <cell r="D9">
            <v>41</v>
          </cell>
          <cell r="E9" t="str">
            <v>Male</v>
          </cell>
          <cell r="F9" t="str">
            <v>Cohabitating</v>
          </cell>
          <cell r="G9" t="str">
            <v>Female</v>
          </cell>
          <cell r="H9" t="str">
            <v>No</v>
          </cell>
        </row>
        <row r="10">
          <cell r="A10">
            <v>77</v>
          </cell>
          <cell r="B10" t="str">
            <v>CAR210363</v>
          </cell>
          <cell r="C10" t="str">
            <v>FROKOM Brillant</v>
          </cell>
          <cell r="D10">
            <v>61</v>
          </cell>
          <cell r="E10" t="str">
            <v>Female</v>
          </cell>
          <cell r="F10" t="str">
            <v>Widowed</v>
          </cell>
          <cell r="G10" t="str">
            <v>Female</v>
          </cell>
          <cell r="H10" t="str">
            <v>No</v>
          </cell>
        </row>
        <row r="11">
          <cell r="A11">
            <v>78</v>
          </cell>
          <cell r="B11" t="str">
            <v>CAR210356</v>
          </cell>
          <cell r="C11" t="str">
            <v>FROKOM Brillant</v>
          </cell>
          <cell r="D11">
            <v>18</v>
          </cell>
          <cell r="E11" t="str">
            <v>Male</v>
          </cell>
          <cell r="F11" t="str">
            <v>Single</v>
          </cell>
          <cell r="G11" t="str">
            <v>Male</v>
          </cell>
          <cell r="H11" t="str">
            <v>No</v>
          </cell>
        </row>
        <row r="12">
          <cell r="A12">
            <v>79</v>
          </cell>
          <cell r="B12" t="str">
            <v>CAR2101282</v>
          </cell>
          <cell r="C12" t="str">
            <v>FROKOM Brillant</v>
          </cell>
          <cell r="D12">
            <v>45</v>
          </cell>
          <cell r="E12" t="str">
            <v>Female</v>
          </cell>
          <cell r="F12" t="str">
            <v>Widowed</v>
          </cell>
          <cell r="G12" t="str">
            <v>Female</v>
          </cell>
          <cell r="H12" t="str">
            <v>No</v>
          </cell>
        </row>
        <row r="13">
          <cell r="A13">
            <v>84</v>
          </cell>
          <cell r="B13" t="str">
            <v>CAR2101263</v>
          </cell>
          <cell r="C13" t="str">
            <v>FROKOM Brillant</v>
          </cell>
          <cell r="D13">
            <v>30</v>
          </cell>
          <cell r="E13" t="str">
            <v>Female</v>
          </cell>
          <cell r="F13" t="str">
            <v>Widowed</v>
          </cell>
          <cell r="G13" t="str">
            <v>Female</v>
          </cell>
          <cell r="H13" t="str">
            <v>No</v>
          </cell>
        </row>
        <row r="14">
          <cell r="A14">
            <v>86</v>
          </cell>
          <cell r="B14" t="str">
            <v>CAR210405</v>
          </cell>
          <cell r="C14" t="str">
            <v>FROKOM Brillant</v>
          </cell>
          <cell r="D14">
            <v>53</v>
          </cell>
          <cell r="E14" t="str">
            <v>Female</v>
          </cell>
          <cell r="F14" t="str">
            <v>Cohabitating</v>
          </cell>
          <cell r="G14" t="str">
            <v>Male</v>
          </cell>
          <cell r="H14" t="str">
            <v>No</v>
          </cell>
        </row>
        <row r="15">
          <cell r="A15">
            <v>88</v>
          </cell>
          <cell r="B15" t="str">
            <v>CAR2101295</v>
          </cell>
          <cell r="C15" t="str">
            <v>FROKOM Brillant</v>
          </cell>
          <cell r="D15">
            <v>49</v>
          </cell>
          <cell r="E15" t="str">
            <v>Male</v>
          </cell>
          <cell r="F15" t="str">
            <v>Cohabitating</v>
          </cell>
          <cell r="G15" t="str">
            <v>Male</v>
          </cell>
          <cell r="H15" t="str">
            <v>No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2AE13-CF3D-474F-AB80-D34D570C51DA}">
  <dimension ref="A1:I116"/>
  <sheetViews>
    <sheetView tabSelected="1" workbookViewId="0">
      <selection activeCell="E3" sqref="E3"/>
    </sheetView>
  </sheetViews>
  <sheetFormatPr defaultRowHeight="14.45"/>
  <cols>
    <col min="2" max="2" width="26.42578125" bestFit="1" customWidth="1"/>
    <col min="3" max="3" width="11.140625" bestFit="1" customWidth="1"/>
    <col min="4" max="4" width="9" bestFit="1" customWidth="1"/>
    <col min="5" max="5" width="36.85546875" bestFit="1" customWidth="1"/>
    <col min="6" max="6" width="8" bestFit="1" customWidth="1"/>
    <col min="7" max="7" width="7.7109375" bestFit="1" customWidth="1"/>
    <col min="8" max="8" width="24.140625" bestFit="1" customWidth="1"/>
  </cols>
  <sheetData>
    <row r="1" spans="1:9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8" t="s">
        <v>5</v>
      </c>
      <c r="G1" s="8"/>
      <c r="H1" s="6" t="s">
        <v>6</v>
      </c>
    </row>
    <row r="2" spans="1:9" ht="15" thickBot="1">
      <c r="A2" s="8"/>
      <c r="B2" s="8"/>
      <c r="C2" s="8"/>
      <c r="D2" s="8"/>
      <c r="E2" s="9"/>
      <c r="F2" s="1" t="s">
        <v>7</v>
      </c>
      <c r="G2" s="1" t="s">
        <v>8</v>
      </c>
      <c r="H2" s="7"/>
    </row>
    <row r="3" spans="1:9">
      <c r="A3">
        <v>1</v>
      </c>
      <c r="B3" t="str">
        <f>VLOOKUP(D3,'[1]Roster Error'!$A$2:$H$15,3,FALSE)</f>
        <v>BAGUIWE Aaron</v>
      </c>
      <c r="C3" t="str">
        <f>VLOOKUP(D3,'[1]Roster Error'!$A$2:$H$15,2,FALSE)</f>
        <v>CAR2101279</v>
      </c>
      <c r="D3" s="2">
        <v>3</v>
      </c>
      <c r="E3" t="s">
        <v>9</v>
      </c>
      <c r="F3" s="2">
        <f>VLOOKUP(D3,'[1]Roster Error'!$A$2:$H$15,4,FALSE)</f>
        <v>50</v>
      </c>
      <c r="G3" s="2" t="str">
        <f>VLOOKUP(D3,'[1]Roster Error'!$A$2:$H$15,5,FALSE)</f>
        <v>Female</v>
      </c>
      <c r="H3" s="2">
        <v>17</v>
      </c>
      <c r="I3" t="str">
        <f>IF(COUNTIF($C$3:$C$116, $C3)&gt;1, "Duplicate", "Unique")</f>
        <v>Unique</v>
      </c>
    </row>
    <row r="4" spans="1:9">
      <c r="A4">
        <v>10</v>
      </c>
      <c r="B4" t="str">
        <f>VLOOKUP(D4,'[1]Roster Error'!$A$2:$H$15,3,FALSE)</f>
        <v>FROKOM Brillant</v>
      </c>
      <c r="C4" t="str">
        <f>VLOOKUP(D4,'[1]Roster Error'!$A$2:$H$15,2,FALSE)</f>
        <v>CAR2101271</v>
      </c>
      <c r="D4" s="2">
        <v>71</v>
      </c>
      <c r="E4" t="s">
        <v>10</v>
      </c>
      <c r="F4" s="2">
        <f>VLOOKUP(D4,'[1]Roster Error'!$A$2:$H$15,4,FALSE)</f>
        <v>40</v>
      </c>
      <c r="G4" s="2" t="str">
        <f>VLOOKUP(D4,'[1]Roster Error'!$A$2:$H$15,5,FALSE)</f>
        <v>Male</v>
      </c>
      <c r="H4" s="2">
        <v>404</v>
      </c>
      <c r="I4" t="str">
        <f t="shared" ref="I4:I67" si="0">IF(COUNTIF($C$3:$C$116, $C4)&gt;1, "Duplicate", "Unique")</f>
        <v>Unique</v>
      </c>
    </row>
    <row r="5" spans="1:9">
      <c r="A5">
        <v>19</v>
      </c>
      <c r="B5" t="str">
        <f>VLOOKUP(D5,'[1]Roster Error'!$A$2:$H$15,3,FALSE)</f>
        <v>FROKOM Brillant</v>
      </c>
      <c r="C5" t="str">
        <f>VLOOKUP(D5,'[1]Roster Error'!$A$2:$H$15,2,FALSE)</f>
        <v>CAR2101270</v>
      </c>
      <c r="D5" s="2">
        <v>72</v>
      </c>
      <c r="E5" t="s">
        <v>11</v>
      </c>
      <c r="F5" s="2">
        <f>VLOOKUP(D5,'[1]Roster Error'!$A$2:$H$15,4,FALSE)</f>
        <v>19</v>
      </c>
      <c r="G5" s="2" t="str">
        <f>VLOOKUP(D5,'[1]Roster Error'!$A$2:$H$15,5,FALSE)</f>
        <v>Female</v>
      </c>
      <c r="H5" s="2">
        <v>413</v>
      </c>
      <c r="I5" t="str">
        <f t="shared" si="0"/>
        <v>Unique</v>
      </c>
    </row>
    <row r="6" spans="1:9">
      <c r="A6">
        <v>20</v>
      </c>
      <c r="B6" t="str">
        <f>VLOOKUP(D6,'[1]Roster Error'!$A$2:$H$15,3,FALSE)</f>
        <v>FROKOM Brillant</v>
      </c>
      <c r="C6" t="str">
        <f>VLOOKUP(D6,'[1]Roster Error'!$A$2:$H$15,2,FALSE)</f>
        <v>CAR210372</v>
      </c>
      <c r="D6" s="2">
        <v>73</v>
      </c>
      <c r="E6" t="s">
        <v>12</v>
      </c>
      <c r="F6" s="2">
        <f>VLOOKUP(D6,'[1]Roster Error'!$A$2:$H$15,4,FALSE)</f>
        <v>40</v>
      </c>
      <c r="G6" s="2" t="str">
        <f>VLOOKUP(D6,'[1]Roster Error'!$A$2:$H$15,5,FALSE)</f>
        <v>Male</v>
      </c>
      <c r="H6" s="2">
        <v>414</v>
      </c>
      <c r="I6" t="str">
        <f t="shared" si="0"/>
        <v>Unique</v>
      </c>
    </row>
    <row r="7" spans="1:9">
      <c r="A7">
        <v>34</v>
      </c>
      <c r="B7" t="str">
        <f>VLOOKUP(D7,'[1]Roster Error'!$A$2:$H$15,3,FALSE)</f>
        <v>FROKOM Brillant</v>
      </c>
      <c r="C7" t="str">
        <f>VLOOKUP(D7,'[1]Roster Error'!$A$2:$H$15,2,FALSE)</f>
        <v>CAR2101272</v>
      </c>
      <c r="D7" s="2">
        <v>74</v>
      </c>
      <c r="E7" t="s">
        <v>11</v>
      </c>
      <c r="F7" s="2">
        <f>VLOOKUP(D7,'[1]Roster Error'!$A$2:$H$15,4,FALSE)</f>
        <v>46</v>
      </c>
      <c r="G7" s="2" t="str">
        <f>VLOOKUP(D7,'[1]Roster Error'!$A$2:$H$15,5,FALSE)</f>
        <v>Male</v>
      </c>
      <c r="H7" s="2">
        <v>428</v>
      </c>
      <c r="I7" t="str">
        <f t="shared" si="0"/>
        <v>Unique</v>
      </c>
    </row>
    <row r="8" spans="1:9">
      <c r="A8">
        <v>35</v>
      </c>
      <c r="B8" t="str">
        <f>VLOOKUP(D8,'[1]Roster Error'!$A$2:$H$15,3,FALSE)</f>
        <v>FROKOM Brillant</v>
      </c>
      <c r="C8" t="str">
        <f>VLOOKUP(D8,'[1]Roster Error'!$A$2:$H$15,2,FALSE)</f>
        <v>CAR2101262</v>
      </c>
      <c r="D8" s="2">
        <v>75</v>
      </c>
      <c r="E8" t="s">
        <v>9</v>
      </c>
      <c r="F8" s="2">
        <f>VLOOKUP(D8,'[1]Roster Error'!$A$2:$H$15,4,FALSE)</f>
        <v>35</v>
      </c>
      <c r="G8" s="2" t="str">
        <f>VLOOKUP(D8,'[1]Roster Error'!$A$2:$H$15,5,FALSE)</f>
        <v>Female</v>
      </c>
      <c r="H8" s="2">
        <v>429</v>
      </c>
      <c r="I8" t="str">
        <f t="shared" si="0"/>
        <v>Unique</v>
      </c>
    </row>
    <row r="9" spans="1:9">
      <c r="A9">
        <v>48</v>
      </c>
      <c r="B9" t="str">
        <f>VLOOKUP(D9,'[1]Roster Error'!$A$2:$H$15,3,FALSE)</f>
        <v>FROKOM Brillant</v>
      </c>
      <c r="C9" s="5" t="str">
        <f>VLOOKUP(D9,'[1]Roster Error'!$A$2:$H$15,2,FALSE)</f>
        <v>CAR210362</v>
      </c>
      <c r="D9" s="2">
        <v>76</v>
      </c>
      <c r="E9" t="s">
        <v>11</v>
      </c>
      <c r="F9" s="2">
        <f>VLOOKUP(D9,'[1]Roster Error'!$A$2:$H$15,4,FALSE)</f>
        <v>41</v>
      </c>
      <c r="G9" s="2" t="str">
        <f>VLOOKUP(D9,'[1]Roster Error'!$A$2:$H$15,5,FALSE)</f>
        <v>Male</v>
      </c>
      <c r="H9" s="2">
        <v>442</v>
      </c>
      <c r="I9" t="str">
        <f t="shared" si="0"/>
        <v>Unique</v>
      </c>
    </row>
    <row r="10" spans="1:9">
      <c r="A10">
        <v>49</v>
      </c>
      <c r="B10" t="str">
        <f>VLOOKUP(D10,'[1]Roster Error'!$A$2:$H$15,3,FALSE)</f>
        <v>FROKOM Brillant</v>
      </c>
      <c r="C10" t="str">
        <f>VLOOKUP(D10,'[1]Roster Error'!$A$2:$H$15,2,FALSE)</f>
        <v>CAR210363</v>
      </c>
      <c r="D10" s="2">
        <v>77</v>
      </c>
      <c r="E10" t="s">
        <v>12</v>
      </c>
      <c r="F10" s="2">
        <f>VLOOKUP(D10,'[1]Roster Error'!$A$2:$H$15,4,FALSE)</f>
        <v>61</v>
      </c>
      <c r="G10" s="2" t="str">
        <f>VLOOKUP(D10,'[1]Roster Error'!$A$2:$H$15,5,FALSE)</f>
        <v>Female</v>
      </c>
      <c r="H10" s="2">
        <v>443</v>
      </c>
      <c r="I10" t="str">
        <f t="shared" si="0"/>
        <v>Unique</v>
      </c>
    </row>
    <row r="11" spans="1:9">
      <c r="A11">
        <v>56</v>
      </c>
      <c r="B11" t="str">
        <f>VLOOKUP(D11,'[1]Roster Error'!$A$2:$H$15,3,FALSE)</f>
        <v>FROKOM Brillant</v>
      </c>
      <c r="C11" s="5" t="str">
        <f>VLOOKUP(D11,'[1]Roster Error'!$A$2:$H$15,2,FALSE)</f>
        <v>CAR210356</v>
      </c>
      <c r="D11" s="2">
        <v>78</v>
      </c>
      <c r="E11" t="s">
        <v>11</v>
      </c>
      <c r="F11" s="2">
        <f>VLOOKUP(D11,'[1]Roster Error'!$A$2:$H$15,4,FALSE)</f>
        <v>18</v>
      </c>
      <c r="G11" s="2" t="str">
        <f>VLOOKUP(D11,'[1]Roster Error'!$A$2:$H$15,5,FALSE)</f>
        <v>Male</v>
      </c>
      <c r="H11" s="2">
        <v>450</v>
      </c>
      <c r="I11" t="str">
        <f t="shared" si="0"/>
        <v>Unique</v>
      </c>
    </row>
    <row r="12" spans="1:9">
      <c r="A12">
        <v>69</v>
      </c>
      <c r="B12" t="str">
        <f>VLOOKUP(D12,'[1]Roster Error'!$A$2:$H$15,3,FALSE)</f>
        <v>FROKOM Brillant</v>
      </c>
      <c r="C12" t="str">
        <f>VLOOKUP(D12,'[1]Roster Error'!$A$2:$H$15,2,FALSE)</f>
        <v>CAR2101282</v>
      </c>
      <c r="D12" s="2">
        <v>79</v>
      </c>
      <c r="E12" t="s">
        <v>11</v>
      </c>
      <c r="F12" s="2">
        <f>VLOOKUP(D12,'[1]Roster Error'!$A$2:$H$15,4,FALSE)</f>
        <v>45</v>
      </c>
      <c r="G12" s="2" t="str">
        <f>VLOOKUP(D12,'[1]Roster Error'!$A$2:$H$15,5,FALSE)</f>
        <v>Female</v>
      </c>
      <c r="H12" s="2">
        <v>463</v>
      </c>
      <c r="I12" t="str">
        <f t="shared" si="0"/>
        <v>Unique</v>
      </c>
    </row>
    <row r="13" spans="1:9">
      <c r="A13">
        <v>70</v>
      </c>
      <c r="B13" t="str">
        <f>VLOOKUP(D13,'[1]Roster Error'!$A$2:$H$15,3,FALSE)</f>
        <v>FROKOM Brillant</v>
      </c>
      <c r="C13" s="5" t="str">
        <f>VLOOKUP(D13,'[1]Roster Error'!$A$2:$H$15,2,FALSE)</f>
        <v>CAR2101263</v>
      </c>
      <c r="D13" s="2">
        <v>84</v>
      </c>
      <c r="E13" t="s">
        <v>12</v>
      </c>
      <c r="F13" s="2">
        <f>VLOOKUP(D13,'[1]Roster Error'!$A$2:$H$15,4,FALSE)</f>
        <v>30</v>
      </c>
      <c r="G13" s="2" t="str">
        <f>VLOOKUP(D13,'[1]Roster Error'!$A$2:$H$15,5,FALSE)</f>
        <v>Female</v>
      </c>
      <c r="H13" s="2">
        <v>488</v>
      </c>
      <c r="I13" t="str">
        <f t="shared" si="0"/>
        <v>Unique</v>
      </c>
    </row>
    <row r="14" spans="1:9">
      <c r="A14">
        <v>78</v>
      </c>
      <c r="B14" t="str">
        <f>VLOOKUP(D14,'[1]Roster Error'!$A$2:$H$15,3,FALSE)</f>
        <v>FROKOM Brillant</v>
      </c>
      <c r="C14" s="5" t="str">
        <f>VLOOKUP(D14,'[1]Roster Error'!$A$2:$H$15,2,FALSE)</f>
        <v>CAR210405</v>
      </c>
      <c r="D14" s="2">
        <v>86</v>
      </c>
      <c r="E14" t="s">
        <v>12</v>
      </c>
      <c r="F14" s="2">
        <f>VLOOKUP(D14,'[1]Roster Error'!$A$2:$H$15,4,FALSE)</f>
        <v>53</v>
      </c>
      <c r="G14" s="2" t="str">
        <f>VLOOKUP(D14,'[1]Roster Error'!$A$2:$H$15,5,FALSE)</f>
        <v>Female</v>
      </c>
      <c r="H14" s="2">
        <v>515</v>
      </c>
      <c r="I14" t="str">
        <f t="shared" si="0"/>
        <v>Unique</v>
      </c>
    </row>
    <row r="15" spans="1:9">
      <c r="A15">
        <v>79</v>
      </c>
      <c r="B15" t="str">
        <f>VLOOKUP(D15,'[1]Roster Error'!$A$2:$H$15,3,FALSE)</f>
        <v>FROKOM Brillant</v>
      </c>
      <c r="C15" t="str">
        <f>VLOOKUP(D15,'[1]Roster Error'!$A$2:$H$15,2,FALSE)</f>
        <v>CAR2101295</v>
      </c>
      <c r="D15" s="2">
        <v>88</v>
      </c>
      <c r="E15" t="s">
        <v>12</v>
      </c>
      <c r="F15" s="2">
        <f>VLOOKUP(D15,'[1]Roster Error'!$A$2:$H$15,4,FALSE)</f>
        <v>49</v>
      </c>
      <c r="G15" s="2" t="str">
        <f>VLOOKUP(D15,'[1]Roster Error'!$A$2:$H$15,5,FALSE)</f>
        <v>Male</v>
      </c>
      <c r="H15" s="2">
        <v>521</v>
      </c>
      <c r="I15" t="str">
        <f t="shared" si="0"/>
        <v>Unique</v>
      </c>
    </row>
    <row r="16" spans="1:9">
      <c r="A16">
        <v>81</v>
      </c>
      <c r="B16" t="s">
        <v>13</v>
      </c>
      <c r="C16" t="s">
        <v>14</v>
      </c>
      <c r="D16" s="2">
        <v>1</v>
      </c>
      <c r="E16" t="s">
        <v>9</v>
      </c>
      <c r="F16" s="2">
        <v>67</v>
      </c>
      <c r="G16" s="2" t="s">
        <v>15</v>
      </c>
      <c r="H16" s="2">
        <v>1</v>
      </c>
      <c r="I16" t="str">
        <f t="shared" si="0"/>
        <v>Unique</v>
      </c>
    </row>
    <row r="17" spans="1:9">
      <c r="A17">
        <v>82</v>
      </c>
      <c r="B17" t="s">
        <v>13</v>
      </c>
      <c r="C17" t="s">
        <v>16</v>
      </c>
      <c r="D17" s="2">
        <v>2</v>
      </c>
      <c r="E17" t="s">
        <v>11</v>
      </c>
      <c r="F17" s="2">
        <v>19</v>
      </c>
      <c r="G17" s="2" t="s">
        <v>15</v>
      </c>
      <c r="H17" s="2">
        <v>8</v>
      </c>
      <c r="I17" t="str">
        <f t="shared" si="0"/>
        <v>Unique</v>
      </c>
    </row>
    <row r="18" spans="1:9">
      <c r="A18">
        <v>83</v>
      </c>
      <c r="B18" t="s">
        <v>13</v>
      </c>
      <c r="C18" t="s">
        <v>17</v>
      </c>
      <c r="D18" s="2">
        <v>4</v>
      </c>
      <c r="E18" t="s">
        <v>9</v>
      </c>
      <c r="F18" s="2">
        <v>30</v>
      </c>
      <c r="G18" s="2" t="s">
        <v>15</v>
      </c>
      <c r="H18" s="2">
        <v>25</v>
      </c>
      <c r="I18" t="str">
        <f t="shared" si="0"/>
        <v>Unique</v>
      </c>
    </row>
    <row r="19" spans="1:9">
      <c r="A19">
        <v>84</v>
      </c>
      <c r="B19" t="s">
        <v>13</v>
      </c>
      <c r="C19" t="s">
        <v>18</v>
      </c>
      <c r="D19" s="2">
        <v>5</v>
      </c>
      <c r="E19" t="s">
        <v>12</v>
      </c>
      <c r="F19" s="2">
        <v>50</v>
      </c>
      <c r="G19" s="2" t="s">
        <v>19</v>
      </c>
      <c r="H19" s="2">
        <v>30</v>
      </c>
      <c r="I19" t="str">
        <f t="shared" si="0"/>
        <v>Unique</v>
      </c>
    </row>
    <row r="20" spans="1:9">
      <c r="A20">
        <v>85</v>
      </c>
      <c r="B20" t="s">
        <v>13</v>
      </c>
      <c r="C20" t="s">
        <v>20</v>
      </c>
      <c r="D20" s="2">
        <v>6</v>
      </c>
      <c r="E20" t="s">
        <v>12</v>
      </c>
      <c r="F20" s="2">
        <v>61</v>
      </c>
      <c r="G20" s="2" t="s">
        <v>15</v>
      </c>
      <c r="H20" s="2">
        <v>35</v>
      </c>
      <c r="I20" t="str">
        <f t="shared" si="0"/>
        <v>Unique</v>
      </c>
    </row>
    <row r="21" spans="1:9">
      <c r="A21">
        <v>86</v>
      </c>
      <c r="B21" t="s">
        <v>13</v>
      </c>
      <c r="C21" t="s">
        <v>21</v>
      </c>
      <c r="D21" s="2">
        <v>7</v>
      </c>
      <c r="E21" t="s">
        <v>12</v>
      </c>
      <c r="F21" s="2">
        <v>58</v>
      </c>
      <c r="G21" s="2" t="s">
        <v>19</v>
      </c>
      <c r="H21" s="2">
        <v>40</v>
      </c>
      <c r="I21" t="str">
        <f t="shared" si="0"/>
        <v>Unique</v>
      </c>
    </row>
    <row r="22" spans="1:9">
      <c r="A22">
        <v>87</v>
      </c>
      <c r="B22" t="s">
        <v>13</v>
      </c>
      <c r="C22" t="s">
        <v>22</v>
      </c>
      <c r="D22" s="2">
        <v>8</v>
      </c>
      <c r="E22" t="s">
        <v>12</v>
      </c>
      <c r="F22" s="2">
        <v>36</v>
      </c>
      <c r="G22" s="2" t="s">
        <v>19</v>
      </c>
      <c r="H22" s="2">
        <v>46</v>
      </c>
      <c r="I22" t="str">
        <f t="shared" si="0"/>
        <v>Unique</v>
      </c>
    </row>
    <row r="23" spans="1:9">
      <c r="A23">
        <v>88</v>
      </c>
      <c r="B23" t="s">
        <v>13</v>
      </c>
      <c r="C23" t="s">
        <v>23</v>
      </c>
      <c r="D23" s="2">
        <v>9</v>
      </c>
      <c r="E23" t="s">
        <v>12</v>
      </c>
      <c r="F23" s="2">
        <v>37</v>
      </c>
      <c r="G23" s="2" t="s">
        <v>19</v>
      </c>
      <c r="H23" s="2">
        <v>53</v>
      </c>
      <c r="I23" t="str">
        <f t="shared" si="0"/>
        <v>Unique</v>
      </c>
    </row>
    <row r="24" spans="1:9">
      <c r="A24">
        <v>89</v>
      </c>
      <c r="B24" t="s">
        <v>13</v>
      </c>
      <c r="C24" t="s">
        <v>24</v>
      </c>
      <c r="D24" s="2">
        <v>10</v>
      </c>
      <c r="E24" t="s">
        <v>9</v>
      </c>
      <c r="F24" s="2">
        <v>23</v>
      </c>
      <c r="G24" s="2" t="s">
        <v>15</v>
      </c>
      <c r="H24" s="2">
        <v>60</v>
      </c>
      <c r="I24" t="str">
        <f t="shared" si="0"/>
        <v>Unique</v>
      </c>
    </row>
    <row r="25" spans="1:9">
      <c r="A25">
        <v>90</v>
      </c>
      <c r="B25" t="s">
        <v>13</v>
      </c>
      <c r="C25" t="s">
        <v>25</v>
      </c>
      <c r="D25" s="2">
        <v>11</v>
      </c>
      <c r="E25" t="s">
        <v>12</v>
      </c>
      <c r="F25" s="2">
        <v>29</v>
      </c>
      <c r="G25" s="2" t="s">
        <v>19</v>
      </c>
      <c r="H25" s="2">
        <v>65</v>
      </c>
      <c r="I25" t="str">
        <f t="shared" si="0"/>
        <v>Unique</v>
      </c>
    </row>
    <row r="26" spans="1:9">
      <c r="A26">
        <v>91</v>
      </c>
      <c r="B26" t="s">
        <v>13</v>
      </c>
      <c r="C26" t="s">
        <v>26</v>
      </c>
      <c r="D26" s="2">
        <v>12</v>
      </c>
      <c r="E26" t="s">
        <v>12</v>
      </c>
      <c r="F26" s="2">
        <v>26</v>
      </c>
      <c r="G26" s="2" t="s">
        <v>19</v>
      </c>
      <c r="H26" s="2">
        <v>69</v>
      </c>
      <c r="I26" t="str">
        <f t="shared" si="0"/>
        <v>Unique</v>
      </c>
    </row>
    <row r="27" spans="1:9">
      <c r="A27">
        <v>92</v>
      </c>
      <c r="B27" t="s">
        <v>13</v>
      </c>
      <c r="C27" t="s">
        <v>27</v>
      </c>
      <c r="D27" s="2">
        <v>13</v>
      </c>
      <c r="E27" t="s">
        <v>9</v>
      </c>
      <c r="F27" s="2">
        <v>50</v>
      </c>
      <c r="G27" s="2" t="s">
        <v>15</v>
      </c>
      <c r="H27" s="2">
        <v>73</v>
      </c>
      <c r="I27" t="str">
        <f t="shared" si="0"/>
        <v>Unique</v>
      </c>
    </row>
    <row r="28" spans="1:9">
      <c r="A28">
        <v>93</v>
      </c>
      <c r="B28" t="s">
        <v>13</v>
      </c>
      <c r="C28" t="s">
        <v>28</v>
      </c>
      <c r="D28" s="2">
        <v>14</v>
      </c>
      <c r="E28" t="s">
        <v>9</v>
      </c>
      <c r="F28" s="2">
        <v>44</v>
      </c>
      <c r="G28" s="2" t="s">
        <v>15</v>
      </c>
      <c r="H28" s="2">
        <v>77</v>
      </c>
      <c r="I28" t="str">
        <f t="shared" si="0"/>
        <v>Unique</v>
      </c>
    </row>
    <row r="29" spans="1:9">
      <c r="A29">
        <v>94</v>
      </c>
      <c r="B29" t="s">
        <v>13</v>
      </c>
      <c r="C29" t="s">
        <v>29</v>
      </c>
      <c r="D29" s="2">
        <v>15</v>
      </c>
      <c r="E29" t="s">
        <v>9</v>
      </c>
      <c r="F29" s="2">
        <v>25</v>
      </c>
      <c r="G29" s="2" t="s">
        <v>15</v>
      </c>
      <c r="H29" s="2">
        <v>84</v>
      </c>
      <c r="I29" t="str">
        <f t="shared" si="0"/>
        <v>Unique</v>
      </c>
    </row>
    <row r="30" spans="1:9">
      <c r="A30">
        <v>95</v>
      </c>
      <c r="B30" t="s">
        <v>13</v>
      </c>
      <c r="C30" t="s">
        <v>30</v>
      </c>
      <c r="D30" s="2">
        <v>16</v>
      </c>
      <c r="E30" t="s">
        <v>9</v>
      </c>
      <c r="F30" s="2">
        <v>43</v>
      </c>
      <c r="G30" s="2" t="s">
        <v>15</v>
      </c>
      <c r="H30" s="2">
        <v>90</v>
      </c>
      <c r="I30" t="str">
        <f t="shared" si="0"/>
        <v>Unique</v>
      </c>
    </row>
    <row r="31" spans="1:9">
      <c r="A31">
        <v>96</v>
      </c>
      <c r="B31" t="s">
        <v>13</v>
      </c>
      <c r="C31" t="s">
        <v>31</v>
      </c>
      <c r="D31" s="2">
        <v>17</v>
      </c>
      <c r="E31" t="s">
        <v>10</v>
      </c>
      <c r="F31" s="2">
        <v>32</v>
      </c>
      <c r="G31" s="2" t="s">
        <v>15</v>
      </c>
      <c r="H31" s="2">
        <v>96</v>
      </c>
      <c r="I31" t="str">
        <f t="shared" si="0"/>
        <v>Unique</v>
      </c>
    </row>
    <row r="32" spans="1:9">
      <c r="A32">
        <v>97</v>
      </c>
      <c r="B32" t="s">
        <v>13</v>
      </c>
      <c r="C32" t="s">
        <v>32</v>
      </c>
      <c r="D32" s="2">
        <v>18</v>
      </c>
      <c r="E32" t="s">
        <v>12</v>
      </c>
      <c r="F32" s="2">
        <v>33</v>
      </c>
      <c r="G32" s="2" t="s">
        <v>19</v>
      </c>
      <c r="H32" s="2">
        <v>105</v>
      </c>
      <c r="I32" t="str">
        <f t="shared" si="0"/>
        <v>Unique</v>
      </c>
    </row>
    <row r="33" spans="1:9">
      <c r="A33">
        <v>98</v>
      </c>
      <c r="B33" t="s">
        <v>13</v>
      </c>
      <c r="C33" t="s">
        <v>33</v>
      </c>
      <c r="D33" s="2">
        <v>19</v>
      </c>
      <c r="E33" t="s">
        <v>12</v>
      </c>
      <c r="F33" s="2">
        <v>25</v>
      </c>
      <c r="G33" s="2" t="s">
        <v>15</v>
      </c>
      <c r="H33" s="2">
        <v>112</v>
      </c>
      <c r="I33" t="str">
        <f t="shared" si="0"/>
        <v>Unique</v>
      </c>
    </row>
    <row r="34" spans="1:9">
      <c r="A34">
        <v>99</v>
      </c>
      <c r="B34" t="s">
        <v>13</v>
      </c>
      <c r="C34" t="s">
        <v>34</v>
      </c>
      <c r="D34" s="2">
        <v>20</v>
      </c>
      <c r="E34" t="s">
        <v>9</v>
      </c>
      <c r="F34" s="2">
        <v>20</v>
      </c>
      <c r="G34" s="2" t="s">
        <v>15</v>
      </c>
      <c r="H34" s="2">
        <v>115</v>
      </c>
      <c r="I34" t="str">
        <f t="shared" si="0"/>
        <v>Unique</v>
      </c>
    </row>
    <row r="35" spans="1:9">
      <c r="A35">
        <v>100</v>
      </c>
      <c r="B35" t="s">
        <v>13</v>
      </c>
      <c r="C35" t="s">
        <v>35</v>
      </c>
      <c r="D35" s="2">
        <v>21</v>
      </c>
      <c r="E35" t="s">
        <v>12</v>
      </c>
      <c r="F35" s="2">
        <v>32</v>
      </c>
      <c r="G35" s="2" t="s">
        <v>19</v>
      </c>
      <c r="H35" s="2">
        <v>119</v>
      </c>
      <c r="I35" t="str">
        <f t="shared" si="0"/>
        <v>Unique</v>
      </c>
    </row>
    <row r="36" spans="1:9">
      <c r="A36">
        <v>101</v>
      </c>
      <c r="B36" t="s">
        <v>13</v>
      </c>
      <c r="C36" t="s">
        <v>36</v>
      </c>
      <c r="D36" s="2">
        <v>22</v>
      </c>
      <c r="E36" t="s">
        <v>12</v>
      </c>
      <c r="F36" s="2">
        <v>45</v>
      </c>
      <c r="G36" s="2" t="s">
        <v>15</v>
      </c>
      <c r="H36" s="2">
        <v>126</v>
      </c>
      <c r="I36" t="str">
        <f t="shared" si="0"/>
        <v>Unique</v>
      </c>
    </row>
    <row r="37" spans="1:9">
      <c r="A37">
        <v>102</v>
      </c>
      <c r="B37" t="s">
        <v>13</v>
      </c>
      <c r="C37" t="s">
        <v>37</v>
      </c>
      <c r="D37" s="2">
        <v>23</v>
      </c>
      <c r="E37" t="s">
        <v>12</v>
      </c>
      <c r="F37" s="2">
        <v>23</v>
      </c>
      <c r="G37" s="2" t="s">
        <v>19</v>
      </c>
      <c r="H37" s="2">
        <v>131</v>
      </c>
      <c r="I37" t="str">
        <f t="shared" si="0"/>
        <v>Unique</v>
      </c>
    </row>
    <row r="38" spans="1:9">
      <c r="A38">
        <v>103</v>
      </c>
      <c r="B38" t="s">
        <v>38</v>
      </c>
      <c r="C38" t="s">
        <v>39</v>
      </c>
      <c r="D38" s="2">
        <v>24</v>
      </c>
      <c r="E38" t="s">
        <v>9</v>
      </c>
      <c r="F38" s="2">
        <v>42</v>
      </c>
      <c r="G38" s="2" t="s">
        <v>15</v>
      </c>
      <c r="H38" s="2">
        <v>143</v>
      </c>
      <c r="I38" t="str">
        <f t="shared" si="0"/>
        <v>Unique</v>
      </c>
    </row>
    <row r="39" spans="1:9">
      <c r="A39">
        <v>104</v>
      </c>
      <c r="B39" t="s">
        <v>38</v>
      </c>
      <c r="C39" t="s">
        <v>40</v>
      </c>
      <c r="D39" s="2">
        <v>26</v>
      </c>
      <c r="E39" t="s">
        <v>9</v>
      </c>
      <c r="F39" s="2">
        <v>28</v>
      </c>
      <c r="G39" s="2" t="s">
        <v>15</v>
      </c>
      <c r="H39" s="2">
        <v>149</v>
      </c>
      <c r="I39" t="str">
        <f t="shared" si="0"/>
        <v>Unique</v>
      </c>
    </row>
    <row r="40" spans="1:9">
      <c r="A40">
        <v>105</v>
      </c>
      <c r="B40" t="s">
        <v>38</v>
      </c>
      <c r="C40" t="s">
        <v>41</v>
      </c>
      <c r="D40" s="2">
        <v>27</v>
      </c>
      <c r="E40" t="s">
        <v>12</v>
      </c>
      <c r="F40" s="2">
        <v>36</v>
      </c>
      <c r="G40" s="2" t="s">
        <v>15</v>
      </c>
      <c r="H40" s="2">
        <v>154</v>
      </c>
      <c r="I40" t="str">
        <f t="shared" si="0"/>
        <v>Unique</v>
      </c>
    </row>
    <row r="41" spans="1:9">
      <c r="A41">
        <v>106</v>
      </c>
      <c r="B41" t="s">
        <v>38</v>
      </c>
      <c r="C41" t="s">
        <v>42</v>
      </c>
      <c r="D41" s="2">
        <v>28</v>
      </c>
      <c r="E41" t="s">
        <v>12</v>
      </c>
      <c r="F41" s="2">
        <v>27</v>
      </c>
      <c r="G41" s="2" t="s">
        <v>15</v>
      </c>
      <c r="H41" s="2">
        <v>159</v>
      </c>
      <c r="I41" t="str">
        <f t="shared" si="0"/>
        <v>Unique</v>
      </c>
    </row>
    <row r="42" spans="1:9">
      <c r="A42">
        <v>107</v>
      </c>
      <c r="B42" t="s">
        <v>38</v>
      </c>
      <c r="C42" t="s">
        <v>43</v>
      </c>
      <c r="D42" s="2">
        <v>29</v>
      </c>
      <c r="E42" t="s">
        <v>12</v>
      </c>
      <c r="F42" s="2">
        <v>21</v>
      </c>
      <c r="G42" s="2" t="s">
        <v>19</v>
      </c>
      <c r="H42" s="2">
        <v>164</v>
      </c>
      <c r="I42" t="str">
        <f t="shared" si="0"/>
        <v>Unique</v>
      </c>
    </row>
    <row r="43" spans="1:9">
      <c r="A43">
        <v>108</v>
      </c>
      <c r="B43" t="s">
        <v>38</v>
      </c>
      <c r="C43" t="s">
        <v>44</v>
      </c>
      <c r="D43" s="2">
        <v>30</v>
      </c>
      <c r="E43" t="s">
        <v>9</v>
      </c>
      <c r="F43" s="2">
        <v>32</v>
      </c>
      <c r="G43" s="2" t="s">
        <v>15</v>
      </c>
      <c r="H43" s="2">
        <v>166</v>
      </c>
      <c r="I43" t="str">
        <f t="shared" si="0"/>
        <v>Unique</v>
      </c>
    </row>
    <row r="44" spans="1:9">
      <c r="A44">
        <v>109</v>
      </c>
      <c r="B44" t="s">
        <v>38</v>
      </c>
      <c r="C44" t="s">
        <v>45</v>
      </c>
      <c r="D44" s="2">
        <v>31</v>
      </c>
      <c r="E44" t="s">
        <v>12</v>
      </c>
      <c r="F44" s="2">
        <v>42</v>
      </c>
      <c r="G44" s="2" t="s">
        <v>19</v>
      </c>
      <c r="H44" s="2">
        <v>173</v>
      </c>
      <c r="I44" t="str">
        <f t="shared" si="0"/>
        <v>Unique</v>
      </c>
    </row>
    <row r="45" spans="1:9">
      <c r="A45">
        <v>110</v>
      </c>
      <c r="B45" t="s">
        <v>38</v>
      </c>
      <c r="C45" t="s">
        <v>46</v>
      </c>
      <c r="D45" s="2">
        <v>32</v>
      </c>
      <c r="E45" t="s">
        <v>12</v>
      </c>
      <c r="F45" s="2">
        <v>32</v>
      </c>
      <c r="G45" s="2" t="s">
        <v>19</v>
      </c>
      <c r="H45" s="2">
        <v>179</v>
      </c>
      <c r="I45" t="str">
        <f t="shared" si="0"/>
        <v>Unique</v>
      </c>
    </row>
    <row r="46" spans="1:9">
      <c r="A46">
        <v>111</v>
      </c>
      <c r="B46" t="s">
        <v>38</v>
      </c>
      <c r="C46" t="s">
        <v>47</v>
      </c>
      <c r="D46" s="2">
        <v>33</v>
      </c>
      <c r="E46" t="s">
        <v>12</v>
      </c>
      <c r="F46" s="2">
        <v>32</v>
      </c>
      <c r="G46" s="2" t="s">
        <v>19</v>
      </c>
      <c r="H46" s="2">
        <v>184</v>
      </c>
      <c r="I46" t="str">
        <f t="shared" si="0"/>
        <v>Unique</v>
      </c>
    </row>
    <row r="47" spans="1:9">
      <c r="A47">
        <v>112</v>
      </c>
      <c r="B47" t="s">
        <v>38</v>
      </c>
      <c r="C47" t="s">
        <v>48</v>
      </c>
      <c r="D47" s="2">
        <v>34</v>
      </c>
      <c r="E47" t="s">
        <v>12</v>
      </c>
      <c r="F47" s="2">
        <v>50</v>
      </c>
      <c r="G47" s="2" t="s">
        <v>19</v>
      </c>
      <c r="H47" s="2">
        <v>189</v>
      </c>
      <c r="I47" t="str">
        <f t="shared" si="0"/>
        <v>Unique</v>
      </c>
    </row>
    <row r="48" spans="1:9">
      <c r="A48">
        <v>113</v>
      </c>
      <c r="B48" t="s">
        <v>38</v>
      </c>
      <c r="C48" t="s">
        <v>49</v>
      </c>
      <c r="D48" s="2">
        <v>35</v>
      </c>
      <c r="E48" t="s">
        <v>12</v>
      </c>
      <c r="F48" s="2">
        <v>47</v>
      </c>
      <c r="G48" s="2" t="s">
        <v>15</v>
      </c>
      <c r="H48" s="2">
        <v>195</v>
      </c>
      <c r="I48" t="str">
        <f t="shared" si="0"/>
        <v>Unique</v>
      </c>
    </row>
    <row r="49" spans="1:9">
      <c r="A49">
        <v>114</v>
      </c>
      <c r="B49" t="s">
        <v>38</v>
      </c>
      <c r="C49" t="s">
        <v>50</v>
      </c>
      <c r="D49" s="2">
        <v>36</v>
      </c>
      <c r="E49" t="s">
        <v>9</v>
      </c>
      <c r="F49" s="2">
        <v>27</v>
      </c>
      <c r="G49" s="2" t="s">
        <v>15</v>
      </c>
      <c r="H49" s="2">
        <v>199</v>
      </c>
      <c r="I49" t="str">
        <f t="shared" si="0"/>
        <v>Unique</v>
      </c>
    </row>
    <row r="50" spans="1:9">
      <c r="A50">
        <v>115</v>
      </c>
      <c r="B50" t="s">
        <v>38</v>
      </c>
      <c r="C50" t="s">
        <v>51</v>
      </c>
      <c r="D50" s="2">
        <v>37</v>
      </c>
      <c r="E50" t="s">
        <v>12</v>
      </c>
      <c r="F50" s="2">
        <v>53</v>
      </c>
      <c r="G50" s="2" t="s">
        <v>15</v>
      </c>
      <c r="H50" s="2">
        <v>204</v>
      </c>
      <c r="I50" t="str">
        <f t="shared" si="0"/>
        <v>Unique</v>
      </c>
    </row>
    <row r="51" spans="1:9">
      <c r="A51">
        <v>116</v>
      </c>
      <c r="B51" t="s">
        <v>38</v>
      </c>
      <c r="C51" t="s">
        <v>52</v>
      </c>
      <c r="D51" s="2">
        <v>38</v>
      </c>
      <c r="E51" t="s">
        <v>9</v>
      </c>
      <c r="F51" s="2">
        <v>52</v>
      </c>
      <c r="G51" s="2" t="s">
        <v>15</v>
      </c>
      <c r="H51" s="2">
        <v>208</v>
      </c>
      <c r="I51" t="str">
        <f t="shared" si="0"/>
        <v>Unique</v>
      </c>
    </row>
    <row r="52" spans="1:9">
      <c r="A52">
        <v>117</v>
      </c>
      <c r="B52" t="s">
        <v>38</v>
      </c>
      <c r="C52" t="s">
        <v>53</v>
      </c>
      <c r="D52" s="2">
        <v>39</v>
      </c>
      <c r="E52" t="s">
        <v>12</v>
      </c>
      <c r="F52" s="2">
        <v>22</v>
      </c>
      <c r="G52" s="2" t="s">
        <v>19</v>
      </c>
      <c r="H52" s="2">
        <v>214</v>
      </c>
      <c r="I52" t="str">
        <f t="shared" si="0"/>
        <v>Unique</v>
      </c>
    </row>
    <row r="53" spans="1:9">
      <c r="A53">
        <v>118</v>
      </c>
      <c r="B53" t="s">
        <v>38</v>
      </c>
      <c r="C53" t="s">
        <v>54</v>
      </c>
      <c r="D53" s="2">
        <v>40</v>
      </c>
      <c r="E53" t="s">
        <v>12</v>
      </c>
      <c r="F53" s="2">
        <v>31</v>
      </c>
      <c r="G53" s="2" t="s">
        <v>19</v>
      </c>
      <c r="H53" s="2">
        <v>216</v>
      </c>
      <c r="I53" t="str">
        <f t="shared" si="0"/>
        <v>Unique</v>
      </c>
    </row>
    <row r="54" spans="1:9">
      <c r="A54">
        <v>119</v>
      </c>
      <c r="B54" t="s">
        <v>38</v>
      </c>
      <c r="C54" t="s">
        <v>55</v>
      </c>
      <c r="D54" s="2">
        <v>41</v>
      </c>
      <c r="E54" t="s">
        <v>12</v>
      </c>
      <c r="F54" s="2">
        <v>28</v>
      </c>
      <c r="G54" s="2" t="s">
        <v>19</v>
      </c>
      <c r="H54" s="2">
        <v>219</v>
      </c>
      <c r="I54" t="str">
        <f t="shared" si="0"/>
        <v>Unique</v>
      </c>
    </row>
    <row r="55" spans="1:9">
      <c r="A55">
        <v>120</v>
      </c>
      <c r="B55" t="s">
        <v>38</v>
      </c>
      <c r="C55" t="s">
        <v>56</v>
      </c>
      <c r="D55" s="2">
        <v>42</v>
      </c>
      <c r="E55" t="s">
        <v>12</v>
      </c>
      <c r="F55" s="2">
        <v>35</v>
      </c>
      <c r="G55" s="2" t="s">
        <v>19</v>
      </c>
      <c r="H55" s="2">
        <v>220</v>
      </c>
      <c r="I55" t="str">
        <f t="shared" si="0"/>
        <v>Unique</v>
      </c>
    </row>
    <row r="56" spans="1:9">
      <c r="A56">
        <v>121</v>
      </c>
      <c r="B56" t="s">
        <v>38</v>
      </c>
      <c r="C56" t="s">
        <v>57</v>
      </c>
      <c r="D56" s="2">
        <v>43</v>
      </c>
      <c r="E56" t="s">
        <v>9</v>
      </c>
      <c r="F56" s="2">
        <v>55</v>
      </c>
      <c r="G56" s="2" t="s">
        <v>15</v>
      </c>
      <c r="H56" s="2">
        <v>225</v>
      </c>
      <c r="I56" t="str">
        <f t="shared" si="0"/>
        <v>Unique</v>
      </c>
    </row>
    <row r="57" spans="1:9">
      <c r="A57">
        <v>122</v>
      </c>
      <c r="B57" t="s">
        <v>38</v>
      </c>
      <c r="C57" t="s">
        <v>58</v>
      </c>
      <c r="D57" s="2">
        <v>44</v>
      </c>
      <c r="E57" t="s">
        <v>9</v>
      </c>
      <c r="F57" s="2">
        <v>35</v>
      </c>
      <c r="G57" s="2" t="s">
        <v>15</v>
      </c>
      <c r="H57" s="2">
        <v>233</v>
      </c>
      <c r="I57" t="str">
        <f t="shared" si="0"/>
        <v>Unique</v>
      </c>
    </row>
    <row r="58" spans="1:9">
      <c r="A58">
        <v>123</v>
      </c>
      <c r="B58" t="s">
        <v>38</v>
      </c>
      <c r="C58" t="s">
        <v>59</v>
      </c>
      <c r="D58" s="2">
        <v>45</v>
      </c>
      <c r="E58" t="s">
        <v>12</v>
      </c>
      <c r="F58" s="2">
        <v>23</v>
      </c>
      <c r="G58" s="2" t="s">
        <v>19</v>
      </c>
      <c r="H58" s="2">
        <v>239</v>
      </c>
      <c r="I58" t="str">
        <f t="shared" si="0"/>
        <v>Unique</v>
      </c>
    </row>
    <row r="59" spans="1:9">
      <c r="A59">
        <v>124</v>
      </c>
      <c r="B59" t="s">
        <v>38</v>
      </c>
      <c r="C59" t="s">
        <v>60</v>
      </c>
      <c r="D59" s="2">
        <v>46</v>
      </c>
      <c r="E59" t="s">
        <v>12</v>
      </c>
      <c r="F59" s="2">
        <v>29</v>
      </c>
      <c r="G59" s="2" t="s">
        <v>19</v>
      </c>
      <c r="H59" s="2">
        <v>241</v>
      </c>
      <c r="I59" t="str">
        <f t="shared" si="0"/>
        <v>Unique</v>
      </c>
    </row>
    <row r="60" spans="1:9">
      <c r="A60">
        <v>125</v>
      </c>
      <c r="B60" t="s">
        <v>38</v>
      </c>
      <c r="C60" t="s">
        <v>61</v>
      </c>
      <c r="D60" s="2">
        <v>47</v>
      </c>
      <c r="E60" t="s">
        <v>12</v>
      </c>
      <c r="F60" s="2">
        <v>42</v>
      </c>
      <c r="G60" s="2" t="s">
        <v>15</v>
      </c>
      <c r="H60" s="2">
        <v>248</v>
      </c>
      <c r="I60" t="str">
        <f t="shared" si="0"/>
        <v>Unique</v>
      </c>
    </row>
    <row r="61" spans="1:9">
      <c r="A61">
        <v>126</v>
      </c>
      <c r="B61" t="s">
        <v>62</v>
      </c>
      <c r="C61" t="s">
        <v>63</v>
      </c>
      <c r="D61" s="2">
        <v>48</v>
      </c>
      <c r="E61" t="s">
        <v>9</v>
      </c>
      <c r="F61" s="2">
        <v>34</v>
      </c>
      <c r="G61" s="2" t="s">
        <v>15</v>
      </c>
      <c r="H61" s="2">
        <v>253</v>
      </c>
      <c r="I61" t="str">
        <f t="shared" si="0"/>
        <v>Unique</v>
      </c>
    </row>
    <row r="62" spans="1:9">
      <c r="A62">
        <v>127</v>
      </c>
      <c r="B62" t="s">
        <v>62</v>
      </c>
      <c r="C62" t="s">
        <v>64</v>
      </c>
      <c r="D62" s="2">
        <v>49</v>
      </c>
      <c r="E62" t="s">
        <v>9</v>
      </c>
      <c r="F62" s="2">
        <v>23</v>
      </c>
      <c r="G62" s="2" t="s">
        <v>15</v>
      </c>
      <c r="H62" s="2">
        <v>260</v>
      </c>
      <c r="I62" t="str">
        <f t="shared" si="0"/>
        <v>Unique</v>
      </c>
    </row>
    <row r="63" spans="1:9">
      <c r="A63">
        <v>128</v>
      </c>
      <c r="B63" t="s">
        <v>62</v>
      </c>
      <c r="C63" t="s">
        <v>65</v>
      </c>
      <c r="D63" s="2">
        <v>50</v>
      </c>
      <c r="E63" t="s">
        <v>12</v>
      </c>
      <c r="F63" s="2">
        <v>53</v>
      </c>
      <c r="G63" s="2" t="s">
        <v>19</v>
      </c>
      <c r="H63" s="2">
        <v>265</v>
      </c>
      <c r="I63" t="str">
        <f t="shared" si="0"/>
        <v>Unique</v>
      </c>
    </row>
    <row r="64" spans="1:9">
      <c r="A64">
        <v>129</v>
      </c>
      <c r="B64" t="s">
        <v>62</v>
      </c>
      <c r="C64" t="s">
        <v>66</v>
      </c>
      <c r="D64" s="2">
        <v>51</v>
      </c>
      <c r="E64" t="s">
        <v>12</v>
      </c>
      <c r="F64" s="2">
        <v>40</v>
      </c>
      <c r="G64" s="2" t="s">
        <v>15</v>
      </c>
      <c r="H64" s="2">
        <v>273</v>
      </c>
      <c r="I64" t="str">
        <f t="shared" si="0"/>
        <v>Unique</v>
      </c>
    </row>
    <row r="65" spans="1:9">
      <c r="A65">
        <v>130</v>
      </c>
      <c r="B65" t="s">
        <v>62</v>
      </c>
      <c r="C65" t="s">
        <v>67</v>
      </c>
      <c r="D65" s="2">
        <v>52</v>
      </c>
      <c r="E65" t="s">
        <v>12</v>
      </c>
      <c r="F65" s="2">
        <v>42</v>
      </c>
      <c r="G65" s="2" t="s">
        <v>15</v>
      </c>
      <c r="H65" s="2">
        <v>281</v>
      </c>
      <c r="I65" t="str">
        <f t="shared" si="0"/>
        <v>Unique</v>
      </c>
    </row>
    <row r="66" spans="1:9">
      <c r="A66">
        <v>131</v>
      </c>
      <c r="B66" t="s">
        <v>62</v>
      </c>
      <c r="C66" t="s">
        <v>68</v>
      </c>
      <c r="D66" s="2">
        <v>53</v>
      </c>
      <c r="E66" t="s">
        <v>12</v>
      </c>
      <c r="F66" s="2">
        <v>38</v>
      </c>
      <c r="G66" s="2" t="s">
        <v>15</v>
      </c>
      <c r="H66" s="2">
        <v>289</v>
      </c>
      <c r="I66" t="str">
        <f t="shared" si="0"/>
        <v>Unique</v>
      </c>
    </row>
    <row r="67" spans="1:9">
      <c r="A67">
        <v>132</v>
      </c>
      <c r="B67" t="s">
        <v>62</v>
      </c>
      <c r="C67" t="s">
        <v>69</v>
      </c>
      <c r="D67" s="2">
        <v>54</v>
      </c>
      <c r="E67" t="s">
        <v>9</v>
      </c>
      <c r="F67" s="2">
        <v>32</v>
      </c>
      <c r="G67" s="2" t="s">
        <v>15</v>
      </c>
      <c r="H67" s="2">
        <v>295</v>
      </c>
      <c r="I67" t="str">
        <f t="shared" si="0"/>
        <v>Unique</v>
      </c>
    </row>
    <row r="68" spans="1:9">
      <c r="A68">
        <v>133</v>
      </c>
      <c r="B68" t="s">
        <v>62</v>
      </c>
      <c r="C68" t="s">
        <v>70</v>
      </c>
      <c r="D68" s="2">
        <v>55</v>
      </c>
      <c r="E68" t="s">
        <v>9</v>
      </c>
      <c r="F68" s="2">
        <v>25</v>
      </c>
      <c r="G68" s="2" t="s">
        <v>15</v>
      </c>
      <c r="H68" s="2">
        <v>303</v>
      </c>
      <c r="I68" t="str">
        <f t="shared" ref="I68:I116" si="1">IF(COUNTIF($C$3:$C$116, $C68)&gt;1, "Duplicate", "Unique")</f>
        <v>Unique</v>
      </c>
    </row>
    <row r="69" spans="1:9">
      <c r="A69">
        <v>134</v>
      </c>
      <c r="B69" t="s">
        <v>62</v>
      </c>
      <c r="C69" t="s">
        <v>71</v>
      </c>
      <c r="D69" s="2">
        <v>56</v>
      </c>
      <c r="E69" t="s">
        <v>9</v>
      </c>
      <c r="F69" s="2">
        <v>39</v>
      </c>
      <c r="G69" s="2" t="s">
        <v>15</v>
      </c>
      <c r="H69" s="2">
        <v>308</v>
      </c>
      <c r="I69" t="str">
        <f t="shared" si="1"/>
        <v>Unique</v>
      </c>
    </row>
    <row r="70" spans="1:9">
      <c r="A70">
        <v>135</v>
      </c>
      <c r="B70" t="s">
        <v>62</v>
      </c>
      <c r="C70" t="s">
        <v>72</v>
      </c>
      <c r="D70" s="2">
        <v>57</v>
      </c>
      <c r="E70" t="s">
        <v>12</v>
      </c>
      <c r="F70" s="2">
        <v>75</v>
      </c>
      <c r="G70" s="2" t="s">
        <v>19</v>
      </c>
      <c r="H70" s="2">
        <v>318</v>
      </c>
      <c r="I70" t="str">
        <f t="shared" si="1"/>
        <v>Unique</v>
      </c>
    </row>
    <row r="71" spans="1:9">
      <c r="A71">
        <v>136</v>
      </c>
      <c r="B71" t="s">
        <v>62</v>
      </c>
      <c r="C71" t="s">
        <v>73</v>
      </c>
      <c r="D71" s="2">
        <v>58</v>
      </c>
      <c r="E71" t="s">
        <v>12</v>
      </c>
      <c r="F71" s="2">
        <v>78</v>
      </c>
      <c r="G71" s="2" t="s">
        <v>15</v>
      </c>
      <c r="H71" s="2">
        <v>325</v>
      </c>
      <c r="I71" t="str">
        <f t="shared" si="1"/>
        <v>Unique</v>
      </c>
    </row>
    <row r="72" spans="1:9">
      <c r="A72">
        <v>137</v>
      </c>
      <c r="B72" t="s">
        <v>62</v>
      </c>
      <c r="C72" t="s">
        <v>74</v>
      </c>
      <c r="D72" s="2">
        <v>59</v>
      </c>
      <c r="E72" t="s">
        <v>12</v>
      </c>
      <c r="F72" s="2">
        <v>62</v>
      </c>
      <c r="G72" s="2" t="s">
        <v>15</v>
      </c>
      <c r="H72" s="2">
        <v>329</v>
      </c>
      <c r="I72" t="str">
        <f t="shared" si="1"/>
        <v>Unique</v>
      </c>
    </row>
    <row r="73" spans="1:9">
      <c r="A73">
        <v>138</v>
      </c>
      <c r="B73" t="s">
        <v>62</v>
      </c>
      <c r="C73" t="s">
        <v>75</v>
      </c>
      <c r="D73" s="2">
        <v>60</v>
      </c>
      <c r="E73" t="s">
        <v>9</v>
      </c>
      <c r="F73" s="2">
        <v>22</v>
      </c>
      <c r="G73" s="2" t="s">
        <v>15</v>
      </c>
      <c r="H73" s="2">
        <v>335</v>
      </c>
      <c r="I73" t="str">
        <f t="shared" si="1"/>
        <v>Unique</v>
      </c>
    </row>
    <row r="74" spans="1:9">
      <c r="A74">
        <v>139</v>
      </c>
      <c r="B74" t="s">
        <v>62</v>
      </c>
      <c r="C74" t="s">
        <v>76</v>
      </c>
      <c r="D74" s="2">
        <v>61</v>
      </c>
      <c r="E74" t="s">
        <v>12</v>
      </c>
      <c r="F74" s="2">
        <v>41</v>
      </c>
      <c r="G74" s="2" t="s">
        <v>19</v>
      </c>
      <c r="H74" s="2">
        <v>339</v>
      </c>
      <c r="I74" t="str">
        <f t="shared" si="1"/>
        <v>Unique</v>
      </c>
    </row>
    <row r="75" spans="1:9">
      <c r="A75">
        <v>140</v>
      </c>
      <c r="B75" t="s">
        <v>62</v>
      </c>
      <c r="C75" t="s">
        <v>77</v>
      </c>
      <c r="D75" s="2">
        <v>62</v>
      </c>
      <c r="E75" t="s">
        <v>12</v>
      </c>
      <c r="F75" s="2">
        <v>30</v>
      </c>
      <c r="G75" s="2" t="s">
        <v>19</v>
      </c>
      <c r="H75" s="2">
        <v>342</v>
      </c>
      <c r="I75" t="str">
        <f t="shared" si="1"/>
        <v>Unique</v>
      </c>
    </row>
    <row r="76" spans="1:9">
      <c r="A76">
        <v>141</v>
      </c>
      <c r="B76" t="s">
        <v>62</v>
      </c>
      <c r="C76" t="s">
        <v>78</v>
      </c>
      <c r="D76" s="2">
        <v>63</v>
      </c>
      <c r="E76" t="s">
        <v>12</v>
      </c>
      <c r="F76" s="2">
        <v>56</v>
      </c>
      <c r="G76" s="2" t="s">
        <v>19</v>
      </c>
      <c r="H76" s="2">
        <v>347</v>
      </c>
      <c r="I76" t="str">
        <f t="shared" si="1"/>
        <v>Unique</v>
      </c>
    </row>
    <row r="77" spans="1:9">
      <c r="A77">
        <v>142</v>
      </c>
      <c r="B77" t="s">
        <v>62</v>
      </c>
      <c r="C77" t="s">
        <v>79</v>
      </c>
      <c r="D77" s="2">
        <v>64</v>
      </c>
      <c r="E77" t="s">
        <v>9</v>
      </c>
      <c r="F77" s="2">
        <v>29</v>
      </c>
      <c r="G77" s="2" t="s">
        <v>15</v>
      </c>
      <c r="H77" s="2">
        <v>352</v>
      </c>
      <c r="I77" t="str">
        <f t="shared" si="1"/>
        <v>Unique</v>
      </c>
    </row>
    <row r="78" spans="1:9">
      <c r="A78">
        <v>143</v>
      </c>
      <c r="B78" t="s">
        <v>62</v>
      </c>
      <c r="C78" t="s">
        <v>80</v>
      </c>
      <c r="D78" s="2">
        <v>65</v>
      </c>
      <c r="E78" t="s">
        <v>12</v>
      </c>
      <c r="F78" s="2">
        <v>46</v>
      </c>
      <c r="G78" s="2" t="s">
        <v>19</v>
      </c>
      <c r="H78" s="2">
        <v>358</v>
      </c>
      <c r="I78" t="str">
        <f t="shared" si="1"/>
        <v>Unique</v>
      </c>
    </row>
    <row r="79" spans="1:9">
      <c r="A79">
        <v>144</v>
      </c>
      <c r="B79" t="s">
        <v>62</v>
      </c>
      <c r="C79" t="s">
        <v>81</v>
      </c>
      <c r="D79" s="2">
        <v>66</v>
      </c>
      <c r="E79" t="s">
        <v>12</v>
      </c>
      <c r="F79" s="2">
        <v>25</v>
      </c>
      <c r="G79" s="2" t="s">
        <v>19</v>
      </c>
      <c r="H79" s="2">
        <v>364</v>
      </c>
      <c r="I79" t="str">
        <f t="shared" si="1"/>
        <v>Unique</v>
      </c>
    </row>
    <row r="80" spans="1:9">
      <c r="A80">
        <v>145</v>
      </c>
      <c r="B80" t="s">
        <v>62</v>
      </c>
      <c r="C80" t="s">
        <v>82</v>
      </c>
      <c r="D80" s="2">
        <v>67</v>
      </c>
      <c r="E80" t="s">
        <v>9</v>
      </c>
      <c r="F80" s="2">
        <v>28</v>
      </c>
      <c r="G80" s="2" t="s">
        <v>15</v>
      </c>
      <c r="H80" s="2">
        <v>369</v>
      </c>
      <c r="I80" t="str">
        <f t="shared" si="1"/>
        <v>Unique</v>
      </c>
    </row>
    <row r="81" spans="1:9">
      <c r="A81">
        <v>146</v>
      </c>
      <c r="B81" t="s">
        <v>62</v>
      </c>
      <c r="C81" t="s">
        <v>83</v>
      </c>
      <c r="D81" s="2">
        <v>68</v>
      </c>
      <c r="E81" t="s">
        <v>12</v>
      </c>
      <c r="F81" s="2">
        <v>37</v>
      </c>
      <c r="G81" s="2" t="s">
        <v>19</v>
      </c>
      <c r="H81" s="2">
        <v>376</v>
      </c>
      <c r="I81" t="str">
        <f t="shared" si="1"/>
        <v>Unique</v>
      </c>
    </row>
    <row r="82" spans="1:9">
      <c r="A82">
        <v>147</v>
      </c>
      <c r="B82" t="s">
        <v>62</v>
      </c>
      <c r="C82" t="s">
        <v>84</v>
      </c>
      <c r="D82" s="2">
        <v>69</v>
      </c>
      <c r="E82" t="s">
        <v>12</v>
      </c>
      <c r="F82" s="2">
        <v>34</v>
      </c>
      <c r="G82" s="2" t="s">
        <v>19</v>
      </c>
      <c r="H82" s="2">
        <v>384</v>
      </c>
      <c r="I82" t="str">
        <f t="shared" si="1"/>
        <v>Unique</v>
      </c>
    </row>
    <row r="83" spans="1:9">
      <c r="A83">
        <v>148</v>
      </c>
      <c r="B83" t="s">
        <v>62</v>
      </c>
      <c r="C83" t="s">
        <v>85</v>
      </c>
      <c r="D83" s="2">
        <v>70</v>
      </c>
      <c r="E83" t="s">
        <v>12</v>
      </c>
      <c r="F83" s="2">
        <v>40</v>
      </c>
      <c r="G83" s="2" t="s">
        <v>19</v>
      </c>
      <c r="H83" s="2">
        <v>390</v>
      </c>
      <c r="I83" t="str">
        <f t="shared" si="1"/>
        <v>Unique</v>
      </c>
    </row>
    <row r="84" spans="1:9">
      <c r="A84">
        <v>149</v>
      </c>
      <c r="B84" t="s">
        <v>86</v>
      </c>
      <c r="C84" t="s">
        <v>87</v>
      </c>
      <c r="D84" s="2">
        <v>80</v>
      </c>
      <c r="E84" t="s">
        <v>12</v>
      </c>
      <c r="F84" s="2">
        <v>52</v>
      </c>
      <c r="G84" s="2" t="s">
        <v>19</v>
      </c>
      <c r="H84" s="2">
        <v>464</v>
      </c>
      <c r="I84" t="str">
        <f t="shared" si="1"/>
        <v>Unique</v>
      </c>
    </row>
    <row r="85" spans="1:9">
      <c r="A85">
        <v>150</v>
      </c>
      <c r="B85" t="s">
        <v>86</v>
      </c>
      <c r="C85" t="s">
        <v>88</v>
      </c>
      <c r="D85" s="2">
        <v>81</v>
      </c>
      <c r="E85" t="s">
        <v>12</v>
      </c>
      <c r="F85" s="2">
        <v>60</v>
      </c>
      <c r="G85" s="2" t="s">
        <v>15</v>
      </c>
      <c r="H85" s="2">
        <v>473</v>
      </c>
      <c r="I85" t="str">
        <f t="shared" si="1"/>
        <v>Unique</v>
      </c>
    </row>
    <row r="86" spans="1:9">
      <c r="A86">
        <v>151</v>
      </c>
      <c r="B86" t="s">
        <v>86</v>
      </c>
      <c r="C86" t="s">
        <v>89</v>
      </c>
      <c r="D86" s="2">
        <v>82</v>
      </c>
      <c r="E86" t="s">
        <v>12</v>
      </c>
      <c r="F86" s="2">
        <v>62</v>
      </c>
      <c r="G86" s="2" t="s">
        <v>15</v>
      </c>
      <c r="H86" s="2">
        <v>478</v>
      </c>
      <c r="I86" t="str">
        <f t="shared" si="1"/>
        <v>Unique</v>
      </c>
    </row>
    <row r="87" spans="1:9">
      <c r="A87">
        <v>152</v>
      </c>
      <c r="B87" t="s">
        <v>86</v>
      </c>
      <c r="C87" s="3" t="s">
        <v>90</v>
      </c>
      <c r="D87" s="2">
        <v>83</v>
      </c>
      <c r="E87" t="s">
        <v>12</v>
      </c>
      <c r="F87" s="4">
        <v>27</v>
      </c>
      <c r="G87" s="2" t="s">
        <v>15</v>
      </c>
      <c r="H87" s="2">
        <v>484</v>
      </c>
      <c r="I87" t="str">
        <f t="shared" si="1"/>
        <v>Duplicate</v>
      </c>
    </row>
    <row r="88" spans="1:9">
      <c r="A88">
        <v>153</v>
      </c>
      <c r="B88" t="s">
        <v>86</v>
      </c>
      <c r="C88" t="s">
        <v>91</v>
      </c>
      <c r="D88" s="2">
        <v>85</v>
      </c>
      <c r="E88" t="s">
        <v>12</v>
      </c>
      <c r="F88" s="2">
        <v>48</v>
      </c>
      <c r="G88" s="2" t="s">
        <v>15</v>
      </c>
      <c r="H88" s="2">
        <v>493</v>
      </c>
      <c r="I88" t="str">
        <f t="shared" si="1"/>
        <v>Unique</v>
      </c>
    </row>
    <row r="89" spans="1:9">
      <c r="A89">
        <v>154</v>
      </c>
      <c r="B89" t="s">
        <v>86</v>
      </c>
      <c r="C89" t="s">
        <v>92</v>
      </c>
      <c r="D89" s="2">
        <v>87</v>
      </c>
      <c r="E89" t="s">
        <v>12</v>
      </c>
      <c r="F89" s="2">
        <v>26</v>
      </c>
      <c r="G89" s="2" t="s">
        <v>19</v>
      </c>
      <c r="H89" s="2">
        <v>516</v>
      </c>
      <c r="I89" t="str">
        <f t="shared" si="1"/>
        <v>Unique</v>
      </c>
    </row>
    <row r="90" spans="1:9">
      <c r="A90">
        <v>155</v>
      </c>
      <c r="B90" t="s">
        <v>86</v>
      </c>
      <c r="C90" t="s">
        <v>93</v>
      </c>
      <c r="D90" s="2">
        <v>89</v>
      </c>
      <c r="E90" t="s">
        <v>12</v>
      </c>
      <c r="F90" s="2">
        <v>35</v>
      </c>
      <c r="G90" s="2" t="s">
        <v>19</v>
      </c>
      <c r="H90" s="2">
        <v>527</v>
      </c>
      <c r="I90" t="str">
        <f t="shared" si="1"/>
        <v>Unique</v>
      </c>
    </row>
    <row r="91" spans="1:9">
      <c r="A91">
        <v>156</v>
      </c>
      <c r="B91" t="s">
        <v>86</v>
      </c>
      <c r="C91" t="s">
        <v>94</v>
      </c>
      <c r="D91" s="2">
        <v>90</v>
      </c>
      <c r="E91" t="s">
        <v>12</v>
      </c>
      <c r="F91" s="2">
        <v>53</v>
      </c>
      <c r="G91" s="2" t="s">
        <v>19</v>
      </c>
      <c r="H91" s="2">
        <v>533</v>
      </c>
      <c r="I91" t="str">
        <f t="shared" si="1"/>
        <v>Unique</v>
      </c>
    </row>
    <row r="92" spans="1:9">
      <c r="A92">
        <v>157</v>
      </c>
      <c r="B92" t="s">
        <v>86</v>
      </c>
      <c r="C92" t="s">
        <v>95</v>
      </c>
      <c r="D92" s="2">
        <v>91</v>
      </c>
      <c r="E92" t="s">
        <v>12</v>
      </c>
      <c r="F92" s="2">
        <v>50</v>
      </c>
      <c r="G92" s="2" t="s">
        <v>15</v>
      </c>
      <c r="H92" s="2">
        <v>540</v>
      </c>
      <c r="I92" t="str">
        <f t="shared" si="1"/>
        <v>Unique</v>
      </c>
    </row>
    <row r="93" spans="1:9">
      <c r="A93">
        <v>158</v>
      </c>
      <c r="B93" t="s">
        <v>86</v>
      </c>
      <c r="C93" t="s">
        <v>96</v>
      </c>
      <c r="D93" s="2">
        <v>92</v>
      </c>
      <c r="E93" t="s">
        <v>12</v>
      </c>
      <c r="F93" s="2">
        <v>42</v>
      </c>
      <c r="G93" s="2" t="s">
        <v>19</v>
      </c>
      <c r="H93" s="2">
        <v>544</v>
      </c>
      <c r="I93" t="str">
        <f t="shared" si="1"/>
        <v>Unique</v>
      </c>
    </row>
    <row r="94" spans="1:9">
      <c r="A94">
        <v>159</v>
      </c>
      <c r="B94" t="s">
        <v>86</v>
      </c>
      <c r="C94" t="s">
        <v>97</v>
      </c>
      <c r="D94" s="2">
        <v>93</v>
      </c>
      <c r="E94" t="s">
        <v>12</v>
      </c>
      <c r="F94" s="2">
        <v>60</v>
      </c>
      <c r="G94" s="2" t="s">
        <v>19</v>
      </c>
      <c r="H94" s="2">
        <v>553</v>
      </c>
      <c r="I94" t="str">
        <f t="shared" si="1"/>
        <v>Unique</v>
      </c>
    </row>
    <row r="95" spans="1:9">
      <c r="A95">
        <v>160</v>
      </c>
      <c r="B95" t="s">
        <v>86</v>
      </c>
      <c r="C95" t="s">
        <v>98</v>
      </c>
      <c r="D95" s="2">
        <v>94</v>
      </c>
      <c r="E95" t="s">
        <v>12</v>
      </c>
      <c r="F95" s="2">
        <v>23</v>
      </c>
      <c r="G95" s="2" t="s">
        <v>19</v>
      </c>
      <c r="H95" s="2">
        <v>555</v>
      </c>
      <c r="I95" t="str">
        <f t="shared" si="1"/>
        <v>Unique</v>
      </c>
    </row>
    <row r="96" spans="1:9">
      <c r="A96">
        <v>161</v>
      </c>
      <c r="B96" t="s">
        <v>86</v>
      </c>
      <c r="C96" t="s">
        <v>99</v>
      </c>
      <c r="D96" s="2">
        <v>95</v>
      </c>
      <c r="E96" t="s">
        <v>12</v>
      </c>
      <c r="F96" s="2">
        <v>29</v>
      </c>
      <c r="G96" s="2" t="s">
        <v>15</v>
      </c>
      <c r="H96" s="2">
        <v>558</v>
      </c>
      <c r="I96" t="str">
        <f t="shared" si="1"/>
        <v>Unique</v>
      </c>
    </row>
    <row r="97" spans="1:9">
      <c r="A97">
        <v>162</v>
      </c>
      <c r="B97" t="s">
        <v>100</v>
      </c>
      <c r="C97" t="s">
        <v>101</v>
      </c>
      <c r="D97" s="2">
        <v>96</v>
      </c>
      <c r="E97" t="s">
        <v>9</v>
      </c>
      <c r="F97" s="2">
        <v>34</v>
      </c>
      <c r="G97" s="2" t="s">
        <v>15</v>
      </c>
      <c r="H97" s="2">
        <v>566</v>
      </c>
      <c r="I97" t="str">
        <f t="shared" si="1"/>
        <v>Unique</v>
      </c>
    </row>
    <row r="98" spans="1:9">
      <c r="A98">
        <v>163</v>
      </c>
      <c r="B98" t="s">
        <v>100</v>
      </c>
      <c r="C98" t="s">
        <v>102</v>
      </c>
      <c r="D98" s="2">
        <v>97</v>
      </c>
      <c r="E98" t="s">
        <v>12</v>
      </c>
      <c r="F98" s="2">
        <v>42</v>
      </c>
      <c r="G98" s="2" t="s">
        <v>19</v>
      </c>
      <c r="H98" s="2">
        <v>572</v>
      </c>
      <c r="I98" t="str">
        <f t="shared" si="1"/>
        <v>Unique</v>
      </c>
    </row>
    <row r="99" spans="1:9">
      <c r="A99">
        <v>164</v>
      </c>
      <c r="B99" t="s">
        <v>100</v>
      </c>
      <c r="C99" t="s">
        <v>103</v>
      </c>
      <c r="D99" s="2">
        <v>98</v>
      </c>
      <c r="E99" t="s">
        <v>9</v>
      </c>
      <c r="F99" s="2">
        <v>27</v>
      </c>
      <c r="G99" s="2" t="s">
        <v>15</v>
      </c>
      <c r="H99" s="2">
        <v>580</v>
      </c>
      <c r="I99" t="str">
        <f t="shared" si="1"/>
        <v>Unique</v>
      </c>
    </row>
    <row r="100" spans="1:9">
      <c r="A100">
        <v>165</v>
      </c>
      <c r="B100" t="s">
        <v>100</v>
      </c>
      <c r="C100" t="s">
        <v>104</v>
      </c>
      <c r="D100" s="2">
        <v>99</v>
      </c>
      <c r="E100" t="s">
        <v>12</v>
      </c>
      <c r="F100" s="2">
        <v>62</v>
      </c>
      <c r="G100" s="2" t="s">
        <v>15</v>
      </c>
      <c r="H100" s="2">
        <v>588</v>
      </c>
      <c r="I100" t="str">
        <f t="shared" si="1"/>
        <v>Unique</v>
      </c>
    </row>
    <row r="101" spans="1:9">
      <c r="A101">
        <v>166</v>
      </c>
      <c r="B101" t="s">
        <v>100</v>
      </c>
      <c r="C101" t="s">
        <v>105</v>
      </c>
      <c r="D101" s="2">
        <v>100</v>
      </c>
      <c r="E101" t="s">
        <v>12</v>
      </c>
      <c r="F101" s="2">
        <v>27</v>
      </c>
      <c r="G101" s="2" t="s">
        <v>19</v>
      </c>
      <c r="H101" s="2">
        <v>591</v>
      </c>
      <c r="I101" t="str">
        <f t="shared" si="1"/>
        <v>Unique</v>
      </c>
    </row>
    <row r="102" spans="1:9">
      <c r="A102">
        <v>167</v>
      </c>
      <c r="B102" t="s">
        <v>100</v>
      </c>
      <c r="C102" t="s">
        <v>106</v>
      </c>
      <c r="D102" s="2">
        <v>101</v>
      </c>
      <c r="E102" t="s">
        <v>12</v>
      </c>
      <c r="F102" s="2">
        <v>62</v>
      </c>
      <c r="G102" s="2" t="s">
        <v>19</v>
      </c>
      <c r="H102" s="2">
        <v>597</v>
      </c>
      <c r="I102" t="str">
        <f t="shared" si="1"/>
        <v>Unique</v>
      </c>
    </row>
    <row r="103" spans="1:9">
      <c r="A103">
        <v>168</v>
      </c>
      <c r="B103" t="s">
        <v>100</v>
      </c>
      <c r="C103" t="s">
        <v>107</v>
      </c>
      <c r="D103" s="2">
        <v>102</v>
      </c>
      <c r="E103" t="s">
        <v>12</v>
      </c>
      <c r="F103" s="2">
        <v>45</v>
      </c>
      <c r="G103" s="2" t="s">
        <v>19</v>
      </c>
      <c r="H103" s="2">
        <v>603</v>
      </c>
      <c r="I103" t="str">
        <f t="shared" si="1"/>
        <v>Unique</v>
      </c>
    </row>
    <row r="104" spans="1:9">
      <c r="A104">
        <v>169</v>
      </c>
      <c r="B104" t="s">
        <v>100</v>
      </c>
      <c r="C104" t="s">
        <v>108</v>
      </c>
      <c r="D104" s="2">
        <v>103</v>
      </c>
      <c r="E104" t="s">
        <v>9</v>
      </c>
      <c r="F104" s="2">
        <v>30</v>
      </c>
      <c r="G104" s="2" t="s">
        <v>15</v>
      </c>
      <c r="H104" s="2">
        <v>607</v>
      </c>
      <c r="I104" t="str">
        <f t="shared" si="1"/>
        <v>Unique</v>
      </c>
    </row>
    <row r="105" spans="1:9">
      <c r="A105">
        <v>170</v>
      </c>
      <c r="B105" t="s">
        <v>100</v>
      </c>
      <c r="C105" t="s">
        <v>109</v>
      </c>
      <c r="D105" s="2">
        <v>104</v>
      </c>
      <c r="E105" t="s">
        <v>12</v>
      </c>
      <c r="F105" s="2">
        <v>40</v>
      </c>
      <c r="G105" s="2" t="s">
        <v>15</v>
      </c>
      <c r="H105" s="2">
        <v>613</v>
      </c>
      <c r="I105" t="str">
        <f t="shared" si="1"/>
        <v>Unique</v>
      </c>
    </row>
    <row r="106" spans="1:9">
      <c r="A106">
        <v>171</v>
      </c>
      <c r="B106" t="s">
        <v>100</v>
      </c>
      <c r="C106" t="s">
        <v>110</v>
      </c>
      <c r="D106" s="2">
        <v>105</v>
      </c>
      <c r="E106" t="s">
        <v>9</v>
      </c>
      <c r="F106" s="2">
        <v>30</v>
      </c>
      <c r="G106" s="2" t="s">
        <v>15</v>
      </c>
      <c r="H106" s="2">
        <v>621</v>
      </c>
      <c r="I106" t="str">
        <f t="shared" si="1"/>
        <v>Unique</v>
      </c>
    </row>
    <row r="107" spans="1:9">
      <c r="A107">
        <v>172</v>
      </c>
      <c r="B107" t="s">
        <v>100</v>
      </c>
      <c r="C107" t="s">
        <v>111</v>
      </c>
      <c r="D107" s="2">
        <v>106</v>
      </c>
      <c r="E107" t="s">
        <v>9</v>
      </c>
      <c r="F107" s="2">
        <v>24</v>
      </c>
      <c r="G107" s="2" t="s">
        <v>15</v>
      </c>
      <c r="H107" s="2">
        <v>626</v>
      </c>
      <c r="I107" t="str">
        <f t="shared" si="1"/>
        <v>Unique</v>
      </c>
    </row>
    <row r="108" spans="1:9">
      <c r="A108">
        <v>173</v>
      </c>
      <c r="B108" t="s">
        <v>100</v>
      </c>
      <c r="C108" t="s">
        <v>112</v>
      </c>
      <c r="D108" s="2">
        <v>107</v>
      </c>
      <c r="E108" t="s">
        <v>12</v>
      </c>
      <c r="F108" s="2">
        <v>36</v>
      </c>
      <c r="G108" s="2" t="s">
        <v>15</v>
      </c>
      <c r="H108" s="2">
        <v>631</v>
      </c>
      <c r="I108" t="str">
        <f t="shared" si="1"/>
        <v>Unique</v>
      </c>
    </row>
    <row r="109" spans="1:9">
      <c r="A109">
        <v>174</v>
      </c>
      <c r="B109" t="s">
        <v>100</v>
      </c>
      <c r="C109" t="s">
        <v>113</v>
      </c>
      <c r="D109" s="2">
        <v>108</v>
      </c>
      <c r="E109" t="s">
        <v>12</v>
      </c>
      <c r="F109" s="2">
        <v>35</v>
      </c>
      <c r="G109" s="2" t="s">
        <v>19</v>
      </c>
      <c r="H109" s="2">
        <v>640</v>
      </c>
      <c r="I109" t="str">
        <f t="shared" si="1"/>
        <v>Unique</v>
      </c>
    </row>
    <row r="110" spans="1:9">
      <c r="A110">
        <v>175</v>
      </c>
      <c r="B110" t="s">
        <v>100</v>
      </c>
      <c r="C110" s="3" t="s">
        <v>90</v>
      </c>
      <c r="D110" s="2">
        <v>109</v>
      </c>
      <c r="E110" t="s">
        <v>11</v>
      </c>
      <c r="F110" s="4">
        <v>58</v>
      </c>
      <c r="G110" s="4" t="s">
        <v>15</v>
      </c>
      <c r="H110" s="2">
        <v>650</v>
      </c>
      <c r="I110" t="str">
        <f t="shared" si="1"/>
        <v>Duplicate</v>
      </c>
    </row>
    <row r="111" spans="1:9">
      <c r="A111">
        <v>176</v>
      </c>
      <c r="B111" t="s">
        <v>100</v>
      </c>
      <c r="C111" t="s">
        <v>114</v>
      </c>
      <c r="D111" s="2">
        <v>110</v>
      </c>
      <c r="E111" t="s">
        <v>12</v>
      </c>
      <c r="F111" s="2">
        <v>54</v>
      </c>
      <c r="G111" s="2" t="s">
        <v>15</v>
      </c>
      <c r="H111" s="2">
        <v>653</v>
      </c>
      <c r="I111" t="str">
        <f t="shared" si="1"/>
        <v>Unique</v>
      </c>
    </row>
    <row r="112" spans="1:9">
      <c r="A112">
        <v>177</v>
      </c>
      <c r="B112" t="s">
        <v>100</v>
      </c>
      <c r="C112" t="s">
        <v>115</v>
      </c>
      <c r="D112" s="2">
        <v>111</v>
      </c>
      <c r="E112" t="s">
        <v>12</v>
      </c>
      <c r="F112" s="2">
        <v>70</v>
      </c>
      <c r="G112" s="2" t="s">
        <v>19</v>
      </c>
      <c r="H112" s="2">
        <v>659</v>
      </c>
      <c r="I112" t="str">
        <f t="shared" si="1"/>
        <v>Unique</v>
      </c>
    </row>
    <row r="113" spans="1:9">
      <c r="A113">
        <v>178</v>
      </c>
      <c r="B113" t="s">
        <v>100</v>
      </c>
      <c r="C113" t="s">
        <v>116</v>
      </c>
      <c r="D113" s="2">
        <v>112</v>
      </c>
      <c r="E113" t="s">
        <v>12</v>
      </c>
      <c r="F113" s="2">
        <v>30</v>
      </c>
      <c r="G113" s="2" t="s">
        <v>15</v>
      </c>
      <c r="H113" s="2">
        <v>668</v>
      </c>
      <c r="I113" t="str">
        <f t="shared" si="1"/>
        <v>Unique</v>
      </c>
    </row>
    <row r="114" spans="1:9">
      <c r="A114">
        <v>179</v>
      </c>
      <c r="B114" t="s">
        <v>100</v>
      </c>
      <c r="C114" t="s">
        <v>117</v>
      </c>
      <c r="D114" s="2">
        <v>113</v>
      </c>
      <c r="E114" t="s">
        <v>12</v>
      </c>
      <c r="F114" s="2">
        <v>19</v>
      </c>
      <c r="G114" s="2" t="s">
        <v>15</v>
      </c>
      <c r="H114" s="2">
        <v>674</v>
      </c>
      <c r="I114" t="str">
        <f t="shared" si="1"/>
        <v>Unique</v>
      </c>
    </row>
    <row r="115" spans="1:9">
      <c r="A115">
        <v>180</v>
      </c>
      <c r="B115" t="s">
        <v>100</v>
      </c>
      <c r="C115" t="s">
        <v>118</v>
      </c>
      <c r="D115" s="2">
        <v>114</v>
      </c>
      <c r="E115" t="s">
        <v>12</v>
      </c>
      <c r="F115" s="2">
        <v>45</v>
      </c>
      <c r="G115" s="2" t="s">
        <v>15</v>
      </c>
      <c r="H115" s="2">
        <v>677</v>
      </c>
      <c r="I115" t="str">
        <f t="shared" si="1"/>
        <v>Unique</v>
      </c>
    </row>
    <row r="116" spans="1:9">
      <c r="A116">
        <v>181</v>
      </c>
      <c r="B116" t="s">
        <v>100</v>
      </c>
      <c r="C116" t="s">
        <v>119</v>
      </c>
      <c r="D116" s="2">
        <v>115</v>
      </c>
      <c r="E116" t="s">
        <v>9</v>
      </c>
      <c r="F116" s="2">
        <v>30</v>
      </c>
      <c r="G116" s="2" t="s">
        <v>15</v>
      </c>
      <c r="H116" s="2">
        <v>685</v>
      </c>
      <c r="I116" t="str">
        <f t="shared" si="1"/>
        <v>Unique</v>
      </c>
    </row>
  </sheetData>
  <mergeCells count="7">
    <mergeCell ref="H1:H2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FEA01C-6832-49D7-B801-3E54563E8779}"/>
</file>

<file path=customXml/itemProps2.xml><?xml version="1.0" encoding="utf-8"?>
<ds:datastoreItem xmlns:ds="http://schemas.openxmlformats.org/officeDocument/2006/customXml" ds:itemID="{8C5642D7-6038-4A7D-86BC-59964FED2E5A}"/>
</file>

<file path=customXml/itemProps3.xml><?xml version="1.0" encoding="utf-8"?>
<ds:datastoreItem xmlns:ds="http://schemas.openxmlformats.org/officeDocument/2006/customXml" ds:itemID="{CABF643D-1FDE-4922-BD00-C7B7A5D6C9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World Food Programme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WEYORI Alirah</dc:creator>
  <cp:keywords/>
  <dc:description/>
  <cp:lastModifiedBy>Joel KAMOUN</cp:lastModifiedBy>
  <cp:revision/>
  <dcterms:created xsi:type="dcterms:W3CDTF">2023-08-28T09:03:11Z</dcterms:created>
  <dcterms:modified xsi:type="dcterms:W3CDTF">2023-09-20T07:43:13Z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</Properties>
</file>