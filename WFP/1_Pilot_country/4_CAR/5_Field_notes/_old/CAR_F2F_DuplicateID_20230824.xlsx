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5_Field_notes/"/>
    </mc:Choice>
  </mc:AlternateContent>
  <xr:revisionPtr revIDLastSave="10" documentId="11_C18C6265BC594B3F25DCFFD03314F820BA3E460E" xr6:coauthVersionLast="47" xr6:coauthVersionMax="47" xr10:uidLastSave="{2C3ECD85-0354-0442-95BB-853EE57150ED}"/>
  <bookViews>
    <workbookView xWindow="9680" yWindow="860" windowWidth="34200" windowHeight="197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Sheet1!$A$1:$Q$23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" i="1"/>
</calcChain>
</file>

<file path=xl/sharedStrings.xml><?xml version="1.0" encoding="utf-8"?>
<sst xmlns="http://schemas.openxmlformats.org/spreadsheetml/2006/main" count="237" uniqueCount="72">
  <si>
    <t>HHID</t>
  </si>
  <si>
    <t>CAR1101184</t>
  </si>
  <si>
    <t>CAR110124</t>
  </si>
  <si>
    <t>CAR110178</t>
  </si>
  <si>
    <t>CAR2101070</t>
  </si>
  <si>
    <t>CAR2101193</t>
  </si>
  <si>
    <t>CAR2101240</t>
  </si>
  <si>
    <t>CAR2101286</t>
  </si>
  <si>
    <t>CAR210214</t>
  </si>
  <si>
    <t>CAR210291</t>
  </si>
  <si>
    <t>CAR210400</t>
  </si>
  <si>
    <t>CAR210453</t>
  </si>
  <si>
    <t>duplistid</t>
  </si>
  <si>
    <t>datelisted</t>
  </si>
  <si>
    <t>24Aug2023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</si>
  <si>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</si>
  <si>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</si>
  <si>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</si>
  <si>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</si>
  <si>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</si>
  <si>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</si>
  <si>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</si>
  <si>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</si>
  <si>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b7e66a81-e2cb-4302-ba92-dd13f37aa444</t>
  </si>
  <si>
    <t>91fc8ca3-07ca-44ca-b3a1-2ad8c32b8cbc</t>
  </si>
  <si>
    <t>8f33fdbe-297c-4803-ad67-ef3ee05bc16b</t>
  </si>
  <si>
    <t>908e22b7-7f32-4895-a692-688130d3cc71</t>
  </si>
  <si>
    <t>d740218c-2456-4b58-98ce-aa9dad266143</t>
  </si>
  <si>
    <t>c67e2f6a-049c-440d-8bc8-7cdfa27bc362</t>
  </si>
  <si>
    <t>01cfa17b-1d3f-4d89-b85d-98a20c09891d</t>
  </si>
  <si>
    <t>c1cc6eaf-8c73-41c2-af34-a6b789558be4</t>
  </si>
  <si>
    <t>d4bbfd45-f05d-45cf-9dc6-12e7377f8e41</t>
  </si>
  <si>
    <t>cd1189de-9f11-4c0d-a514-993a9cd85c81</t>
  </si>
  <si>
    <t>503d1959-0c21-4e63-af00-253c92f45361</t>
  </si>
  <si>
    <t>99edc3a3-8821-41e9-920d-6bcec8c9b610</t>
  </si>
  <si>
    <t>fb8d0f9c-7de7-4fdf-82d2-0e87ad49d3b7</t>
  </si>
  <si>
    <t>ebf3e2ec-0845-4494-a2a1-e99579dfc503</t>
  </si>
  <si>
    <t>712d3672-c29a-4a59-8b8c-028737b85bc7</t>
  </si>
  <si>
    <t>afa1f32e-ea9d-4c3a-a9f2-d1f4925dd690</t>
  </si>
  <si>
    <t>4aeda82e-0c2b-448f-8671-1319ea87b6a2</t>
  </si>
  <si>
    <t>ab4330fa-262d-4a36-8c78-505b468021ea</t>
  </si>
  <si>
    <t>68034e7d-9505-4817-873c-56739aa6c97a</t>
  </si>
  <si>
    <t>0f7e454d-47ec-4bd5-bd11-7a62795caf69</t>
  </si>
  <si>
    <t>dd4757ab-aade-403d-b722-a52bffb53daa</t>
  </si>
  <si>
    <t>ec863daa-93b5-4480-a1fa-d51d02d7b1e5</t>
  </si>
  <si>
    <t>today</t>
  </si>
  <si>
    <t>EnuName_Display</t>
  </si>
  <si>
    <t>KOPIRI DOLE Noella</t>
  </si>
  <si>
    <t>NELO Odilon</t>
  </si>
  <si>
    <t>ENZA INGUERE Danielle</t>
  </si>
  <si>
    <t>DEGANAÏ DEDE Igor Tiburce</t>
  </si>
  <si>
    <t>TOUTOU Alain</t>
  </si>
  <si>
    <t>BAGUIWE Aaron</t>
  </si>
  <si>
    <t>FROKOM Brillant</t>
  </si>
  <si>
    <t>GOUNOUMOUNDJOU Simplice</t>
  </si>
  <si>
    <t>NANIBET Chadly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</si>
  <si>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</si>
  <si>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</si>
  <si>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</si>
  <si>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</si>
  <si>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</si>
  <si>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</si>
  <si>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</si>
  <si>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ADMIN3Name ADMIN5Name HHUrbRur EnuName EnuName_Display HHCoord ___HHCoord_latitude ___HHCoord_longitude ___HHCoord_altitude ___HHCoord_precision RESName RESPAge RESPSt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</si>
  <si>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</si>
  <si>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</si>
  <si>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</si>
  <si>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deviceid SvyDate ADMIN3Name ADMIN5Name EnuName EnuName_Display HHCoord ___HHCoord_latitude ___HHCoord_longitude ___HHCoord_altitude ___HHCoord_precision RESName RESPAge RESPStatus MDDI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</si>
  <si>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</si>
  <si>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today deviceid SvyDate ADMIN3Name ADMIN5Name EnuName EnuName_Display HHCoord ___HHCoord_latitude ___HHCoord_longitude ___HHCoord_altitude ___HHCoord_precision RESName MDDIHHIdDoc HHSize Repe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</si>
  <si>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</si>
  <si>
    <t>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</si>
</sst>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fp.sharepoint.com/sites/NeedsAssessmentsTeam/Shared%20Documents/General/01.%20Food%20security%20assessments/1.3%20Research%20&amp;%20Reviews/2_CARI_validation/1_rCARI_study/1_Pilot_country/4_CAR/5_Field_notes/CAR_Error_Logs.xlsx" TargetMode="External"/><Relationship Id="rId2" Type="http://schemas.microsoft.com/office/2019/04/relationships/externalLinkLongPath" Target="CAR_Error_Logs.xlsx?94DB1794" TargetMode="External"/><Relationship Id="rId1" Type="http://schemas.openxmlformats.org/officeDocument/2006/relationships/externalLinkPath" Target="file:///94DB1794/CAR_Error_Lo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rror Log"/>
      <sheetName val="Duplicates"/>
      <sheetName val="Roster Error"/>
      <sheetName val="Missing Roster"/>
      <sheetName val="Other Specify Clarifications"/>
    </sheetNames>
    <sheetDataSet>
      <sheetData sheetId="0" refreshError="1"/>
      <sheetData sheetId="1">
        <row r="1">
          <cell r="D1" t="str">
            <v>HHID</v>
          </cell>
        </row>
        <row r="2">
          <cell r="D2" t="str">
            <v>CAR2101286</v>
          </cell>
        </row>
        <row r="3">
          <cell r="D3" t="str">
            <v>CAR2101286</v>
          </cell>
        </row>
        <row r="4">
          <cell r="D4" t="str">
            <v>CAR12018</v>
          </cell>
        </row>
        <row r="5">
          <cell r="D5" t="str">
            <v>CAR12018</v>
          </cell>
        </row>
        <row r="6">
          <cell r="D6" t="str">
            <v>CAR1397</v>
          </cell>
        </row>
        <row r="7">
          <cell r="D7" t="str">
            <v>CAR1397</v>
          </cell>
        </row>
        <row r="8">
          <cell r="D8" t="str">
            <v>CAR1101184</v>
          </cell>
        </row>
        <row r="9">
          <cell r="D9" t="str">
            <v>CAR1101184</v>
          </cell>
        </row>
        <row r="10">
          <cell r="D10" t="str">
            <v>CAR110124</v>
          </cell>
        </row>
        <row r="11">
          <cell r="D11" t="str">
            <v>CAR110124</v>
          </cell>
        </row>
        <row r="12">
          <cell r="D12" t="str">
            <v>CAR110178</v>
          </cell>
        </row>
        <row r="13">
          <cell r="D13" t="str">
            <v>CAR110178</v>
          </cell>
        </row>
        <row r="14">
          <cell r="D14" t="str">
            <v>CAR2101193</v>
          </cell>
        </row>
        <row r="15">
          <cell r="D15" t="str">
            <v>CAR2101193</v>
          </cell>
        </row>
        <row r="16">
          <cell r="D16" t="str">
            <v>CAR2101240</v>
          </cell>
        </row>
        <row r="17">
          <cell r="D17" t="str">
            <v>CAR2101240</v>
          </cell>
        </row>
        <row r="18">
          <cell r="D18" t="str">
            <v>CAR210291</v>
          </cell>
        </row>
        <row r="19">
          <cell r="D19" t="str">
            <v>CAR210291</v>
          </cell>
        </row>
        <row r="20">
          <cell r="D20" t="str">
            <v>CAR210453</v>
          </cell>
        </row>
        <row r="21">
          <cell r="D21" t="str">
            <v>CAR210453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topLeftCell="B1" workbookViewId="0">
      <selection activeCell="H9" sqref="H9"/>
    </sheetView>
  </sheetViews>
  <sheetFormatPr baseColWidth="10" defaultColWidth="8.83203125" defaultRowHeight="15" x14ac:dyDescent="0.2"/>
  <cols>
    <col min="1" max="1" width="11.1640625" hidden="1" customWidth="1"/>
  </cols>
  <sheetData>
    <row r="1" spans="1:17" x14ac:dyDescent="0.2">
      <c r="A1" s="3" t="s">
        <v>71</v>
      </c>
      <c r="B1" t="s">
        <v>0</v>
      </c>
      <c r="C1" t="s">
        <v>12</v>
      </c>
      <c r="D1" t="s">
        <v>13</v>
      </c>
      <c r="E1" t="s">
        <v>15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45</v>
      </c>
      <c r="M1" t="s">
        <v>46</v>
      </c>
      <c r="N1" t="s">
        <v>56</v>
      </c>
      <c r="O1" t="s">
        <v>57</v>
      </c>
      <c r="P1" t="s">
        <v>58</v>
      </c>
      <c r="Q1" t="s">
        <v>59</v>
      </c>
    </row>
    <row r="2" spans="1:17" x14ac:dyDescent="0.2">
      <c r="A2" t="str">
        <f>VLOOKUP(B2,[1]Duplicates!$D$1:$D$21,1,FALSE)</f>
        <v>CAR1101184</v>
      </c>
      <c r="B2" t="s">
        <v>1</v>
      </c>
      <c r="C2" s="1">
        <v>1</v>
      </c>
      <c r="D2" t="s">
        <v>14</v>
      </c>
      <c r="E2" t="s">
        <v>16</v>
      </c>
      <c r="F2" t="s">
        <v>16</v>
      </c>
      <c r="G2" t="s">
        <v>16</v>
      </c>
      <c r="H2" s="1"/>
      <c r="I2" t="s">
        <v>16</v>
      </c>
      <c r="J2" t="s">
        <v>16</v>
      </c>
      <c r="K2" t="s">
        <v>23</v>
      </c>
      <c r="L2" s="2">
        <v>45153</v>
      </c>
      <c r="M2" t="s">
        <v>47</v>
      </c>
      <c r="N2" s="1">
        <v>18</v>
      </c>
      <c r="O2" s="1">
        <v>0</v>
      </c>
      <c r="P2" s="1">
        <v>3</v>
      </c>
      <c r="Q2" t="s">
        <v>60</v>
      </c>
    </row>
    <row r="3" spans="1:17" x14ac:dyDescent="0.2">
      <c r="A3" t="str">
        <f>VLOOKUP(B3,[1]Duplicates!$D$1:$D$21,1,FALSE)</f>
        <v>CAR1101184</v>
      </c>
      <c r="B3" t="s">
        <v>1</v>
      </c>
      <c r="C3" s="1">
        <v>2</v>
      </c>
      <c r="D3" t="s">
        <v>14</v>
      </c>
      <c r="E3" t="s">
        <v>16</v>
      </c>
      <c r="F3" t="s">
        <v>16</v>
      </c>
      <c r="G3" t="s">
        <v>16</v>
      </c>
      <c r="H3" s="1"/>
      <c r="I3" t="s">
        <v>16</v>
      </c>
      <c r="J3" t="s">
        <v>16</v>
      </c>
      <c r="K3" t="s">
        <v>24</v>
      </c>
      <c r="L3" s="2">
        <v>45153</v>
      </c>
      <c r="M3" t="s">
        <v>47</v>
      </c>
      <c r="N3" s="1">
        <v>40</v>
      </c>
      <c r="O3" s="1">
        <v>0</v>
      </c>
      <c r="P3" s="1">
        <v>7</v>
      </c>
      <c r="Q3" t="s">
        <v>60</v>
      </c>
    </row>
    <row r="4" spans="1:17" x14ac:dyDescent="0.2">
      <c r="A4" t="str">
        <f>VLOOKUP(B4,[1]Duplicates!$D$1:$D$21,1,FALSE)</f>
        <v>CAR110124</v>
      </c>
      <c r="B4" t="s">
        <v>2</v>
      </c>
      <c r="C4" s="1">
        <v>3</v>
      </c>
      <c r="D4" t="s">
        <v>14</v>
      </c>
      <c r="E4" t="s">
        <v>16</v>
      </c>
      <c r="F4" t="s">
        <v>16</v>
      </c>
      <c r="G4" t="s">
        <v>16</v>
      </c>
      <c r="H4" s="1"/>
      <c r="I4" t="s">
        <v>16</v>
      </c>
      <c r="J4" t="s">
        <v>16</v>
      </c>
      <c r="K4" t="s">
        <v>25</v>
      </c>
      <c r="L4" s="2">
        <v>45151</v>
      </c>
      <c r="M4" t="s">
        <v>47</v>
      </c>
      <c r="N4" s="1">
        <v>27</v>
      </c>
      <c r="O4" s="1">
        <v>1</v>
      </c>
      <c r="P4" s="1">
        <v>6</v>
      </c>
      <c r="Q4" t="s">
        <v>61</v>
      </c>
    </row>
    <row r="5" spans="1:17" x14ac:dyDescent="0.2">
      <c r="A5" t="str">
        <f>VLOOKUP(B5,[1]Duplicates!$D$1:$D$21,1,FALSE)</f>
        <v>CAR110124</v>
      </c>
      <c r="B5" t="s">
        <v>2</v>
      </c>
      <c r="C5" s="1">
        <v>4</v>
      </c>
      <c r="D5" t="s">
        <v>14</v>
      </c>
      <c r="E5" t="s">
        <v>16</v>
      </c>
      <c r="F5" t="s">
        <v>16</v>
      </c>
      <c r="G5" t="s">
        <v>16</v>
      </c>
      <c r="H5" s="1"/>
      <c r="I5" t="s">
        <v>16</v>
      </c>
      <c r="J5" t="s">
        <v>16</v>
      </c>
      <c r="K5" t="s">
        <v>26</v>
      </c>
      <c r="L5" s="2">
        <v>45152</v>
      </c>
      <c r="M5" t="s">
        <v>48</v>
      </c>
      <c r="N5" s="1">
        <v>55</v>
      </c>
      <c r="O5" s="1">
        <v>1</v>
      </c>
      <c r="P5" s="1">
        <v>6</v>
      </c>
      <c r="Q5" t="s">
        <v>61</v>
      </c>
    </row>
    <row r="6" spans="1:17" x14ac:dyDescent="0.2">
      <c r="A6" t="str">
        <f>VLOOKUP(B6,[1]Duplicates!$D$1:$D$21,1,FALSE)</f>
        <v>CAR110178</v>
      </c>
      <c r="B6" t="s">
        <v>3</v>
      </c>
      <c r="C6" s="1">
        <v>5</v>
      </c>
      <c r="D6" t="s">
        <v>14</v>
      </c>
      <c r="E6" t="s">
        <v>16</v>
      </c>
      <c r="F6" t="s">
        <v>16</v>
      </c>
      <c r="G6" t="s">
        <v>16</v>
      </c>
      <c r="H6" s="1"/>
      <c r="I6" t="s">
        <v>16</v>
      </c>
      <c r="J6" t="s">
        <v>16</v>
      </c>
      <c r="K6" t="s">
        <v>27</v>
      </c>
      <c r="L6" s="2">
        <v>45154</v>
      </c>
      <c r="M6" t="s">
        <v>49</v>
      </c>
      <c r="N6" s="1">
        <v>80</v>
      </c>
      <c r="O6" s="1">
        <v>0</v>
      </c>
      <c r="P6" s="1">
        <v>7</v>
      </c>
      <c r="Q6" t="s">
        <v>62</v>
      </c>
    </row>
    <row r="7" spans="1:17" x14ac:dyDescent="0.2">
      <c r="A7" t="str">
        <f>VLOOKUP(B7,[1]Duplicates!$D$1:$D$21,1,FALSE)</f>
        <v>CAR110178</v>
      </c>
      <c r="B7" t="s">
        <v>3</v>
      </c>
      <c r="C7" s="1">
        <v>6</v>
      </c>
      <c r="D7" t="s">
        <v>14</v>
      </c>
      <c r="E7" t="s">
        <v>16</v>
      </c>
      <c r="F7" t="s">
        <v>16</v>
      </c>
      <c r="G7" t="s">
        <v>16</v>
      </c>
      <c r="H7" s="1"/>
      <c r="I7" t="s">
        <v>16</v>
      </c>
      <c r="J7" t="s">
        <v>16</v>
      </c>
      <c r="K7" t="s">
        <v>28</v>
      </c>
      <c r="L7" s="2">
        <v>45154</v>
      </c>
      <c r="M7" t="s">
        <v>49</v>
      </c>
      <c r="N7" s="1">
        <v>25</v>
      </c>
      <c r="O7" s="1">
        <v>0</v>
      </c>
      <c r="P7" s="1">
        <v>6</v>
      </c>
      <c r="Q7" t="s">
        <v>62</v>
      </c>
    </row>
    <row r="8" spans="1:17" x14ac:dyDescent="0.2">
      <c r="A8" t="e">
        <f>VLOOKUP(B8,[1]Duplicates!$D$1:$D$21,1,FALSE)</f>
        <v>#N/A</v>
      </c>
      <c r="B8" t="s">
        <v>4</v>
      </c>
      <c r="C8" s="1">
        <v>7</v>
      </c>
      <c r="D8" t="s">
        <v>14</v>
      </c>
      <c r="E8" t="s">
        <v>16</v>
      </c>
      <c r="F8" t="s">
        <v>16</v>
      </c>
      <c r="G8" t="s">
        <v>16</v>
      </c>
      <c r="H8" s="1"/>
      <c r="I8" t="s">
        <v>16</v>
      </c>
      <c r="J8" t="s">
        <v>16</v>
      </c>
      <c r="K8" t="s">
        <v>29</v>
      </c>
      <c r="L8" s="2">
        <v>45162</v>
      </c>
      <c r="M8" t="s">
        <v>50</v>
      </c>
      <c r="N8" s="1">
        <v>40</v>
      </c>
      <c r="O8" s="1">
        <v>0</v>
      </c>
      <c r="P8" s="1">
        <v>5</v>
      </c>
      <c r="Q8" t="s">
        <v>63</v>
      </c>
    </row>
    <row r="9" spans="1:17" x14ac:dyDescent="0.2">
      <c r="A9" t="e">
        <f>VLOOKUP(B9,[1]Duplicates!$D$1:$D$21,1,FALSE)</f>
        <v>#N/A</v>
      </c>
      <c r="B9" t="s">
        <v>4</v>
      </c>
      <c r="C9" s="1">
        <v>8</v>
      </c>
      <c r="D9" t="s">
        <v>14</v>
      </c>
      <c r="E9" t="s">
        <v>16</v>
      </c>
      <c r="F9" t="s">
        <v>16</v>
      </c>
      <c r="G9" t="s">
        <v>16</v>
      </c>
      <c r="H9" s="1"/>
      <c r="I9" t="s">
        <v>16</v>
      </c>
      <c r="J9" t="s">
        <v>16</v>
      </c>
      <c r="K9" t="s">
        <v>30</v>
      </c>
      <c r="L9" s="2">
        <v>45151</v>
      </c>
      <c r="M9" t="s">
        <v>51</v>
      </c>
      <c r="N9" s="1">
        <v>47</v>
      </c>
      <c r="O9" s="1">
        <v>0</v>
      </c>
      <c r="P9" s="1">
        <v>4</v>
      </c>
      <c r="Q9" t="s">
        <v>63</v>
      </c>
    </row>
    <row r="10" spans="1:17" x14ac:dyDescent="0.2">
      <c r="A10" t="str">
        <f>VLOOKUP(B10,[1]Duplicates!$D$1:$D$21,1,FALSE)</f>
        <v>CAR2101193</v>
      </c>
      <c r="B10" t="s">
        <v>5</v>
      </c>
      <c r="C10" s="1">
        <v>9</v>
      </c>
      <c r="D10" t="s">
        <v>14</v>
      </c>
      <c r="E10" t="s">
        <v>16</v>
      </c>
      <c r="F10" t="s">
        <v>16</v>
      </c>
      <c r="G10" t="s">
        <v>16</v>
      </c>
      <c r="H10" s="1"/>
      <c r="I10" t="s">
        <v>16</v>
      </c>
      <c r="J10" t="s">
        <v>16</v>
      </c>
      <c r="K10" t="s">
        <v>31</v>
      </c>
      <c r="L10" s="2">
        <v>45156</v>
      </c>
      <c r="M10" t="s">
        <v>52</v>
      </c>
      <c r="N10" s="1">
        <v>23</v>
      </c>
      <c r="O10" s="1">
        <v>0</v>
      </c>
      <c r="P10" s="1">
        <v>5</v>
      </c>
      <c r="Q10" t="s">
        <v>64</v>
      </c>
    </row>
    <row r="11" spans="1:17" x14ac:dyDescent="0.2">
      <c r="A11" t="str">
        <f>VLOOKUP(B11,[1]Duplicates!$D$1:$D$21,1,FALSE)</f>
        <v>CAR2101193</v>
      </c>
      <c r="B11" t="s">
        <v>5</v>
      </c>
      <c r="C11" s="1">
        <v>10</v>
      </c>
      <c r="D11" t="s">
        <v>14</v>
      </c>
      <c r="E11" t="s">
        <v>16</v>
      </c>
      <c r="F11" t="s">
        <v>16</v>
      </c>
      <c r="G11" t="s">
        <v>16</v>
      </c>
      <c r="H11" s="1"/>
      <c r="I11" t="s">
        <v>16</v>
      </c>
      <c r="J11" t="s">
        <v>16</v>
      </c>
      <c r="K11" t="s">
        <v>32</v>
      </c>
      <c r="L11" s="2">
        <v>45157</v>
      </c>
      <c r="M11" t="s">
        <v>52</v>
      </c>
      <c r="N11" s="1">
        <v>35</v>
      </c>
      <c r="O11" s="1">
        <v>0</v>
      </c>
      <c r="P11" s="1">
        <v>6</v>
      </c>
      <c r="Q11" t="s">
        <v>64</v>
      </c>
    </row>
    <row r="12" spans="1:17" x14ac:dyDescent="0.2">
      <c r="A12" t="str">
        <f>VLOOKUP(B12,[1]Duplicates!$D$1:$D$21,1,FALSE)</f>
        <v>CAR2101240</v>
      </c>
      <c r="B12" t="s">
        <v>6</v>
      </c>
      <c r="C12" s="1">
        <v>11</v>
      </c>
      <c r="D12" t="s">
        <v>14</v>
      </c>
      <c r="E12" t="s">
        <v>16</v>
      </c>
      <c r="F12" t="s">
        <v>16</v>
      </c>
      <c r="G12" t="s">
        <v>16</v>
      </c>
      <c r="H12" s="1"/>
      <c r="I12" t="s">
        <v>16</v>
      </c>
      <c r="J12" t="s">
        <v>16</v>
      </c>
      <c r="K12" t="s">
        <v>33</v>
      </c>
      <c r="L12" s="2">
        <v>45157</v>
      </c>
      <c r="M12" t="s">
        <v>52</v>
      </c>
      <c r="N12" s="1">
        <v>45</v>
      </c>
      <c r="O12" s="1">
        <v>1</v>
      </c>
      <c r="P12" s="1">
        <v>6</v>
      </c>
      <c r="Q12" t="s">
        <v>65</v>
      </c>
    </row>
    <row r="13" spans="1:17" x14ac:dyDescent="0.2">
      <c r="A13" t="str">
        <f>VLOOKUP(B13,[1]Duplicates!$D$1:$D$21,1,FALSE)</f>
        <v>CAR2101240</v>
      </c>
      <c r="B13" t="s">
        <v>6</v>
      </c>
      <c r="C13" s="1">
        <v>12</v>
      </c>
      <c r="D13" t="s">
        <v>14</v>
      </c>
      <c r="E13" t="s">
        <v>16</v>
      </c>
      <c r="F13" t="s">
        <v>16</v>
      </c>
      <c r="G13" t="s">
        <v>16</v>
      </c>
      <c r="H13" s="1"/>
      <c r="I13" t="s">
        <v>16</v>
      </c>
      <c r="J13" t="s">
        <v>16</v>
      </c>
      <c r="K13" t="s">
        <v>34</v>
      </c>
      <c r="L13" s="2">
        <v>45154</v>
      </c>
      <c r="M13" t="s">
        <v>53</v>
      </c>
      <c r="N13" s="1">
        <v>34</v>
      </c>
      <c r="O13" s="1">
        <v>1</v>
      </c>
      <c r="P13" s="1">
        <v>5</v>
      </c>
      <c r="Q13" t="s">
        <v>65</v>
      </c>
    </row>
    <row r="14" spans="1:17" x14ac:dyDescent="0.2">
      <c r="A14" t="str">
        <f>VLOOKUP(B14,[1]Duplicates!$D$1:$D$21,1,FALSE)</f>
        <v>CAR2101286</v>
      </c>
      <c r="B14" t="s">
        <v>7</v>
      </c>
      <c r="C14" s="1">
        <v>13</v>
      </c>
      <c r="D14" t="s">
        <v>14</v>
      </c>
      <c r="E14" t="s">
        <v>16</v>
      </c>
      <c r="F14" t="s">
        <v>16</v>
      </c>
      <c r="G14" t="s">
        <v>16</v>
      </c>
      <c r="H14" s="1"/>
      <c r="I14" t="s">
        <v>16</v>
      </c>
      <c r="J14" t="s">
        <v>16</v>
      </c>
      <c r="K14" t="s">
        <v>35</v>
      </c>
      <c r="L14" s="2">
        <v>45152</v>
      </c>
      <c r="M14" t="s">
        <v>54</v>
      </c>
      <c r="N14" s="1">
        <v>58</v>
      </c>
      <c r="O14" s="1">
        <v>0</v>
      </c>
      <c r="P14" s="1">
        <v>3</v>
      </c>
      <c r="Q14" t="s">
        <v>66</v>
      </c>
    </row>
    <row r="15" spans="1:17" x14ac:dyDescent="0.2">
      <c r="A15" t="str">
        <f>VLOOKUP(B15,[1]Duplicates!$D$1:$D$21,1,FALSE)</f>
        <v>CAR2101286</v>
      </c>
      <c r="B15" t="s">
        <v>7</v>
      </c>
      <c r="C15" s="1">
        <v>14</v>
      </c>
      <c r="D15" t="s">
        <v>14</v>
      </c>
      <c r="E15" t="s">
        <v>16</v>
      </c>
      <c r="F15" t="s">
        <v>16</v>
      </c>
      <c r="G15" t="s">
        <v>16</v>
      </c>
      <c r="H15" s="1"/>
      <c r="I15" t="s">
        <v>16</v>
      </c>
      <c r="J15" t="s">
        <v>16</v>
      </c>
      <c r="K15" t="s">
        <v>36</v>
      </c>
      <c r="L15" s="2">
        <v>45151</v>
      </c>
      <c r="M15" t="s">
        <v>53</v>
      </c>
      <c r="N15" s="1">
        <v>27</v>
      </c>
      <c r="O15" s="1">
        <v>0</v>
      </c>
      <c r="P15" s="1">
        <v>4</v>
      </c>
      <c r="Q15" t="s">
        <v>66</v>
      </c>
    </row>
    <row r="16" spans="1:17" x14ac:dyDescent="0.2">
      <c r="A16" t="e">
        <f>VLOOKUP(B16,[1]Duplicates!$D$1:$D$21,1,FALSE)</f>
        <v>#N/A</v>
      </c>
      <c r="B16" t="s">
        <v>8</v>
      </c>
      <c r="C16" s="1">
        <v>15</v>
      </c>
      <c r="D16" t="s">
        <v>14</v>
      </c>
      <c r="E16" t="s">
        <v>16</v>
      </c>
      <c r="F16" t="s">
        <v>16</v>
      </c>
      <c r="G16" t="s">
        <v>16</v>
      </c>
      <c r="H16" s="1"/>
      <c r="I16" t="s">
        <v>16</v>
      </c>
      <c r="J16" t="s">
        <v>16</v>
      </c>
      <c r="K16" t="s">
        <v>37</v>
      </c>
      <c r="L16" s="2">
        <v>45151</v>
      </c>
      <c r="M16" t="s">
        <v>52</v>
      </c>
      <c r="N16" s="1">
        <v>37</v>
      </c>
      <c r="O16" s="1">
        <v>1</v>
      </c>
      <c r="P16" s="1">
        <v>7</v>
      </c>
      <c r="Q16" t="s">
        <v>67</v>
      </c>
    </row>
    <row r="17" spans="1:17" x14ac:dyDescent="0.2">
      <c r="A17" t="e">
        <f>VLOOKUP(B17,[1]Duplicates!$D$1:$D$21,1,FALSE)</f>
        <v>#N/A</v>
      </c>
      <c r="B17" t="s">
        <v>8</v>
      </c>
      <c r="C17" s="1">
        <v>16</v>
      </c>
      <c r="D17" t="s">
        <v>14</v>
      </c>
      <c r="E17" t="s">
        <v>16</v>
      </c>
      <c r="F17" t="s">
        <v>16</v>
      </c>
      <c r="G17" t="s">
        <v>16</v>
      </c>
      <c r="H17" s="1"/>
      <c r="I17" t="s">
        <v>16</v>
      </c>
      <c r="J17" t="s">
        <v>16</v>
      </c>
      <c r="K17" t="s">
        <v>38</v>
      </c>
      <c r="L17" s="2">
        <v>45161</v>
      </c>
      <c r="M17" t="s">
        <v>55</v>
      </c>
      <c r="N17" s="1">
        <v>93</v>
      </c>
      <c r="O17" s="1">
        <v>1</v>
      </c>
      <c r="P17" s="1">
        <v>4</v>
      </c>
      <c r="Q17" t="s">
        <v>67</v>
      </c>
    </row>
    <row r="18" spans="1:17" x14ac:dyDescent="0.2">
      <c r="A18" t="str">
        <f>VLOOKUP(B18,[1]Duplicates!$D$1:$D$21,1,FALSE)</f>
        <v>CAR210291</v>
      </c>
      <c r="B18" t="s">
        <v>9</v>
      </c>
      <c r="C18" s="1">
        <v>17</v>
      </c>
      <c r="D18" t="s">
        <v>14</v>
      </c>
      <c r="E18" t="s">
        <v>16</v>
      </c>
      <c r="F18" t="s">
        <v>16</v>
      </c>
      <c r="G18" t="s">
        <v>16</v>
      </c>
      <c r="H18" s="1"/>
      <c r="I18" t="s">
        <v>16</v>
      </c>
      <c r="J18" t="s">
        <v>16</v>
      </c>
      <c r="K18" t="s">
        <v>39</v>
      </c>
      <c r="L18" s="2">
        <v>45156</v>
      </c>
      <c r="M18" t="s">
        <v>52</v>
      </c>
      <c r="N18" s="1">
        <v>65</v>
      </c>
      <c r="O18" s="1">
        <v>0</v>
      </c>
      <c r="P18" s="1">
        <v>6</v>
      </c>
      <c r="Q18" t="s">
        <v>68</v>
      </c>
    </row>
    <row r="19" spans="1:17" x14ac:dyDescent="0.2">
      <c r="A19" t="str">
        <f>VLOOKUP(B19,[1]Duplicates!$D$1:$D$21,1,FALSE)</f>
        <v>CAR210291</v>
      </c>
      <c r="B19" t="s">
        <v>9</v>
      </c>
      <c r="C19" s="1">
        <v>18</v>
      </c>
      <c r="D19" t="s">
        <v>14</v>
      </c>
      <c r="E19" t="s">
        <v>16</v>
      </c>
      <c r="F19" t="s">
        <v>16</v>
      </c>
      <c r="G19" t="s">
        <v>16</v>
      </c>
      <c r="H19" s="1"/>
      <c r="I19" t="s">
        <v>16</v>
      </c>
      <c r="J19" t="s">
        <v>16</v>
      </c>
      <c r="K19" t="s">
        <v>40</v>
      </c>
      <c r="L19" s="2">
        <v>45157</v>
      </c>
      <c r="M19" t="s">
        <v>52</v>
      </c>
      <c r="N19" s="1">
        <v>34</v>
      </c>
      <c r="O19" s="1">
        <v>0</v>
      </c>
      <c r="P19" s="1">
        <v>6</v>
      </c>
      <c r="Q19" t="s">
        <v>68</v>
      </c>
    </row>
    <row r="20" spans="1:17" x14ac:dyDescent="0.2">
      <c r="A20" t="e">
        <f>VLOOKUP(B20,[1]Duplicates!$D$1:$D$21,1,FALSE)</f>
        <v>#N/A</v>
      </c>
      <c r="B20" t="s">
        <v>10</v>
      </c>
      <c r="C20" s="1">
        <v>19</v>
      </c>
      <c r="D20" t="s">
        <v>14</v>
      </c>
      <c r="E20" t="s">
        <v>16</v>
      </c>
      <c r="F20" t="s">
        <v>16</v>
      </c>
      <c r="G20" t="s">
        <v>16</v>
      </c>
      <c r="H20" s="1"/>
      <c r="I20" t="s">
        <v>16</v>
      </c>
      <c r="J20" t="s">
        <v>16</v>
      </c>
      <c r="K20" t="s">
        <v>41</v>
      </c>
      <c r="L20" s="2">
        <v>45161</v>
      </c>
      <c r="M20" t="s">
        <v>55</v>
      </c>
      <c r="N20" s="1">
        <v>23</v>
      </c>
      <c r="O20" s="1">
        <v>0</v>
      </c>
      <c r="P20" s="1">
        <v>2</v>
      </c>
      <c r="Q20" t="s">
        <v>69</v>
      </c>
    </row>
    <row r="21" spans="1:17" x14ac:dyDescent="0.2">
      <c r="A21" t="e">
        <f>VLOOKUP(B21,[1]Duplicates!$D$1:$D$21,1,FALSE)</f>
        <v>#N/A</v>
      </c>
      <c r="B21" t="s">
        <v>10</v>
      </c>
      <c r="C21" s="1">
        <v>20</v>
      </c>
      <c r="D21" t="s">
        <v>14</v>
      </c>
      <c r="E21" t="s">
        <v>16</v>
      </c>
      <c r="F21" t="s">
        <v>16</v>
      </c>
      <c r="G21" t="s">
        <v>16</v>
      </c>
      <c r="H21" s="1"/>
      <c r="I21" t="s">
        <v>16</v>
      </c>
      <c r="J21" t="s">
        <v>16</v>
      </c>
      <c r="K21" t="s">
        <v>42</v>
      </c>
      <c r="L21" s="2">
        <v>45151</v>
      </c>
      <c r="M21" t="s">
        <v>52</v>
      </c>
      <c r="N21" s="1">
        <v>23</v>
      </c>
      <c r="O21" s="1">
        <v>0</v>
      </c>
      <c r="P21" s="1">
        <v>5</v>
      </c>
      <c r="Q21" t="s">
        <v>69</v>
      </c>
    </row>
    <row r="22" spans="1:17" x14ac:dyDescent="0.2">
      <c r="A22" t="str">
        <f>VLOOKUP(B22,[1]Duplicates!$D$1:$D$21,1,FALSE)</f>
        <v>CAR210453</v>
      </c>
      <c r="B22" t="s">
        <v>11</v>
      </c>
      <c r="C22" s="1">
        <v>21</v>
      </c>
      <c r="D22" t="s">
        <v>14</v>
      </c>
      <c r="E22" t="s">
        <v>16</v>
      </c>
      <c r="F22" t="s">
        <v>16</v>
      </c>
      <c r="G22" t="s">
        <v>16</v>
      </c>
      <c r="H22" s="1"/>
      <c r="I22" t="s">
        <v>16</v>
      </c>
      <c r="J22" t="s">
        <v>16</v>
      </c>
      <c r="K22" t="s">
        <v>43</v>
      </c>
      <c r="L22" s="2">
        <v>45158</v>
      </c>
      <c r="M22" t="s">
        <v>52</v>
      </c>
      <c r="N22" s="1">
        <v>20</v>
      </c>
      <c r="O22" s="1">
        <v>0</v>
      </c>
      <c r="P22" s="1">
        <v>5</v>
      </c>
      <c r="Q22" t="s">
        <v>70</v>
      </c>
    </row>
    <row r="23" spans="1:17" x14ac:dyDescent="0.2">
      <c r="A23" t="str">
        <f>VLOOKUP(B23,[1]Duplicates!$D$1:$D$21,1,FALSE)</f>
        <v>CAR210453</v>
      </c>
      <c r="B23" t="s">
        <v>11</v>
      </c>
      <c r="C23" s="1">
        <v>22</v>
      </c>
      <c r="D23" t="s">
        <v>14</v>
      </c>
      <c r="E23" t="s">
        <v>16</v>
      </c>
      <c r="F23" t="s">
        <v>16</v>
      </c>
      <c r="G23" t="s">
        <v>16</v>
      </c>
      <c r="H23" s="1"/>
      <c r="I23" t="s">
        <v>16</v>
      </c>
      <c r="J23" t="s">
        <v>16</v>
      </c>
      <c r="K23" t="s">
        <v>44</v>
      </c>
      <c r="L23" s="2">
        <v>45158</v>
      </c>
      <c r="M23" t="s">
        <v>52</v>
      </c>
      <c r="N23" s="1">
        <v>35</v>
      </c>
      <c r="O23" s="1">
        <v>1</v>
      </c>
      <c r="P23" s="1">
        <v>10</v>
      </c>
      <c r="Q23" t="s">
        <v>70</v>
      </c>
    </row>
  </sheetData>
  <autoFilter ref="A1:Q2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DCFA89CF-4F36-4221-9AEF-1856FCDDF2B1}"/>
</file>

<file path=customXml/itemProps2.xml><?xml version="1.0" encoding="utf-8"?>
<ds:datastoreItem xmlns:ds="http://schemas.openxmlformats.org/officeDocument/2006/customXml" ds:itemID="{C312598F-ECD1-43B3-88B7-0F4B343733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027326-3A24-402B-ADD8-257D48BC50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Wu</cp:lastModifiedBy>
  <dcterms:modified xsi:type="dcterms:W3CDTF">2023-08-27T18:11:52Z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