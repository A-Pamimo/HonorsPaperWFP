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chart1.xml" ContentType="application/vnd.openxmlformats-officedocument.drawingml.chart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worksheets/sheet1.xml" ContentType="application/vnd.openxmlformats-officedocument.spreadsheetml.worksheet+xml"/>
  <Override PartName="/xl/charts/style9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"/>
    </mc:Choice>
  </mc:AlternateContent>
  <xr:revisionPtr revIDLastSave="4" documentId="8_{6425AE63-19FB-4431-975F-205FFC3B2800}" xr6:coauthVersionLast="47" xr6:coauthVersionMax="47" xr10:uidLastSave="{91BF6F0B-0F80-490B-B988-D5ADAA9FB91E}"/>
  <bookViews>
    <workbookView minimized="1" xWindow="1500" yWindow="1010" windowWidth="14400" windowHeight="7510" xr2:uid="{4F7F6CF8-C6D9-4298-ADCC-32336A044A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2" i="1" l="1"/>
  <c r="H173" i="1"/>
  <c r="I173" i="1" s="1"/>
  <c r="C148" i="1"/>
  <c r="D148" i="1"/>
  <c r="E148" i="1"/>
  <c r="F148" i="1"/>
  <c r="G148" i="1"/>
  <c r="H148" i="1"/>
  <c r="I148" i="1"/>
  <c r="F3" i="2"/>
  <c r="F2" i="2"/>
  <c r="D10" i="1" l="1"/>
  <c r="A10" i="1" s="1"/>
  <c r="D9" i="1"/>
  <c r="A9" i="1" s="1"/>
  <c r="D8" i="1"/>
  <c r="A8" i="1" s="1"/>
  <c r="D7" i="1"/>
  <c r="A7" i="1" s="1"/>
  <c r="D6" i="1"/>
  <c r="A6" i="1" s="1"/>
  <c r="D5" i="1"/>
  <c r="A5" i="1" s="1"/>
  <c r="D4" i="1"/>
  <c r="A4" i="1" s="1"/>
  <c r="D3" i="1"/>
  <c r="A3" i="1" s="1"/>
  <c r="D2" i="1"/>
</calcChain>
</file>

<file path=xl/sharedStrings.xml><?xml version="1.0" encoding="utf-8"?>
<sst xmlns="http://schemas.openxmlformats.org/spreadsheetml/2006/main" count="187" uniqueCount="119">
  <si>
    <t>agecat</t>
  </si>
  <si>
    <t>Freq.</t>
  </si>
  <si>
    <t>Percent</t>
  </si>
  <si>
    <t>Cum.</t>
  </si>
  <si>
    <t>41- 45</t>
  </si>
  <si>
    <t>26- 30</t>
  </si>
  <si>
    <t>31- 35</t>
  </si>
  <si>
    <t>36- 40</t>
  </si>
  <si>
    <t>56- 60</t>
  </si>
  <si>
    <t>51- 55</t>
  </si>
  <si>
    <t>&gt; 60</t>
  </si>
  <si>
    <t>Males</t>
  </si>
  <si>
    <t>&lt; 25</t>
  </si>
  <si>
    <t>%Females</t>
  </si>
  <si>
    <t>%Male</t>
  </si>
  <si>
    <t>agecat       Freq.</t>
  </si>
  <si>
    <t>46- 50</t>
  </si>
  <si>
    <t>Aucun</t>
  </si>
  <si>
    <t>Alphabétisé ou Coranique</t>
  </si>
  <si>
    <t>Primaire (CP1 au CM2)</t>
  </si>
  <si>
    <t>Secondaire (Collège/lycée)</t>
  </si>
  <si>
    <t>Supérieur(Universitaire)</t>
  </si>
  <si>
    <t>Enseignement</t>
  </si>
  <si>
    <t>professionnel et Technique</t>
  </si>
  <si>
    <t>Female</t>
  </si>
  <si>
    <t>Male</t>
  </si>
  <si>
    <t>National</t>
  </si>
  <si>
    <t>No Education</t>
  </si>
  <si>
    <t>Literate or Koranic</t>
  </si>
  <si>
    <t>Primairy (CP1 to CM2)</t>
  </si>
  <si>
    <t>Secondary (Collège/Lincense)</t>
  </si>
  <si>
    <t>Higher (University)</t>
  </si>
  <si>
    <t>Vocational and technical education</t>
  </si>
  <si>
    <t>Bamingui-Bangoran</t>
  </si>
  <si>
    <t>Bangui</t>
  </si>
  <si>
    <t>Basse-Kotto</t>
  </si>
  <si>
    <t>Haute-Kotto</t>
  </si>
  <si>
    <t>Haut-Mbomou</t>
  </si>
  <si>
    <t>Kémo</t>
  </si>
  <si>
    <t>Lobaye</t>
  </si>
  <si>
    <t>Mambéré-Kadéi</t>
  </si>
  <si>
    <t>Mbomou</t>
  </si>
  <si>
    <t>Nana-Grebizi</t>
  </si>
  <si>
    <t>Nana-Mambere</t>
  </si>
  <si>
    <t>Ombella-Mpoko</t>
  </si>
  <si>
    <t>Ouaka</t>
  </si>
  <si>
    <t>Ouham</t>
  </si>
  <si>
    <t>Ouham-Pendé</t>
  </si>
  <si>
    <t>Sangha-Mbaéré</t>
  </si>
  <si>
    <t>Vakaga</t>
  </si>
  <si>
    <t>Total</t>
  </si>
  <si>
    <t>Food secure</t>
  </si>
  <si>
    <t>Moderately food insecure</t>
  </si>
  <si>
    <t>Severly food insecure</t>
  </si>
  <si>
    <t>Marginally food secure</t>
  </si>
  <si>
    <t>Severely food insecure</t>
  </si>
  <si>
    <t>Households</t>
  </si>
  <si>
    <t>rCSIMealNb</t>
  </si>
  <si>
    <t>rCSIMealAdult</t>
  </si>
  <si>
    <t>rCSIMealSize</t>
  </si>
  <si>
    <t>rCSIBorrow</t>
  </si>
  <si>
    <t>rCSILessQlty</t>
  </si>
  <si>
    <t>rCSI coping strategy due to lack of food</t>
  </si>
  <si>
    <t>&lt;=50%</t>
  </si>
  <si>
    <t>50% - 65%</t>
  </si>
  <si>
    <t>65% - 75%</t>
  </si>
  <si>
    <t>&gt;= 75%</t>
  </si>
  <si>
    <t>Percenge</t>
  </si>
  <si>
    <t>Acceptable</t>
  </si>
  <si>
    <t>Bordeline</t>
  </si>
  <si>
    <t>Poor</t>
  </si>
  <si>
    <t>FCG</t>
  </si>
  <si>
    <t>Summary of asset depletion</t>
  </si>
  <si>
    <t>not adopting coping strategies</t>
  </si>
  <si>
    <t>Stress coping strategies</t>
  </si>
  <si>
    <t>Crisis coping strategies</t>
  </si>
  <si>
    <t>Emergencies coping strategies</t>
  </si>
  <si>
    <t>HH not adopting coping strategies</t>
  </si>
  <si>
    <t>Emergency coping strategies</t>
  </si>
  <si>
    <t>Summary of LCS-asset depletion</t>
  </si>
  <si>
    <t>Cereals</t>
  </si>
  <si>
    <t>Root &amp; tubers</t>
  </si>
  <si>
    <t>Proteins</t>
  </si>
  <si>
    <t>Pulses</t>
  </si>
  <si>
    <t>Dairy</t>
  </si>
  <si>
    <t>Vegetables</t>
  </si>
  <si>
    <t>Fruits</t>
  </si>
  <si>
    <t>Own production (food crops, market gardening, etc.)</t>
  </si>
  <si>
    <t>Purchases (market, store)</t>
  </si>
  <si>
    <t>Loan (store credit)</t>
  </si>
  <si>
    <t>Gifts from friends/neighbors/relatives</t>
  </si>
  <si>
    <t>Hunting/gathering/fishing/gathering</t>
  </si>
  <si>
    <t>food-for-work exchanges o</t>
  </si>
  <si>
    <t>Food aid from civil society</t>
  </si>
  <si>
    <t>FS-Classification (CARI)</t>
  </si>
  <si>
    <t>NP</t>
  </si>
  <si>
    <t>P</t>
  </si>
  <si>
    <t>Average HDDS</t>
  </si>
  <si>
    <t>Protein</t>
  </si>
  <si>
    <t>VitA rich food (vegetables &amp; fruits)</t>
  </si>
  <si>
    <t>Prefecture</t>
  </si>
  <si>
    <t>-</t>
  </si>
  <si>
    <t>Variable</t>
  </si>
  <si>
    <t>Std. dev.</t>
  </si>
  <si>
    <t>Min</t>
  </si>
  <si>
    <t>Max</t>
  </si>
  <si>
    <t>Sugar/Sweets</t>
  </si>
  <si>
    <t>Condiments</t>
  </si>
  <si>
    <t>Fats/oils</t>
  </si>
  <si>
    <t>Dairy/milk</t>
  </si>
  <si>
    <t>Cereals/roots and tubers</t>
  </si>
  <si>
    <t>Food Groups-FCS</t>
  </si>
  <si>
    <t>26 - 30</t>
  </si>
  <si>
    <t>31 - 35</t>
  </si>
  <si>
    <t>36 - 40</t>
  </si>
  <si>
    <t>41 - 45</t>
  </si>
  <si>
    <t>46 - 50</t>
  </si>
  <si>
    <t>51 - 55</t>
  </si>
  <si>
    <t>56 - 60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</si>
</sst>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indexed="8"/>
      <name val="Arial"/>
    </font>
    <font>
      <sz val="9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9"/>
      <color rgb="FFC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36">
    <xf numFmtId="0" fontId="0" fillId="0" borderId="0" xfId="0"/>
    <xf numFmtId="3" fontId="0" fillId="0" borderId="0" xfId="0" applyNumberFormat="1"/>
    <xf numFmtId="0" fontId="4" fillId="0" borderId="1" xfId="2" applyFont="1" applyBorder="1" applyAlignment="1">
      <alignment horizontal="left" wrapText="1"/>
    </xf>
    <xf numFmtId="0" fontId="4" fillId="0" borderId="2" xfId="2" applyFont="1" applyBorder="1" applyAlignment="1">
      <alignment horizontal="center" wrapText="1"/>
    </xf>
    <xf numFmtId="0" fontId="4" fillId="0" borderId="3" xfId="2" applyFont="1" applyBorder="1" applyAlignment="1">
      <alignment horizontal="left" vertical="top" wrapText="1"/>
    </xf>
    <xf numFmtId="164" fontId="4" fillId="0" borderId="4" xfId="2" applyNumberFormat="1" applyFont="1" applyBorder="1" applyAlignment="1">
      <alignment horizontal="right" vertical="top"/>
    </xf>
    <xf numFmtId="0" fontId="4" fillId="0" borderId="5" xfId="2" applyFont="1" applyBorder="1" applyAlignment="1">
      <alignment horizontal="left" vertical="top" wrapText="1"/>
    </xf>
    <xf numFmtId="164" fontId="4" fillId="0" borderId="6" xfId="2" applyNumberFormat="1" applyFont="1" applyBorder="1" applyAlignment="1">
      <alignment horizontal="right" vertical="top"/>
    </xf>
    <xf numFmtId="0" fontId="4" fillId="0" borderId="7" xfId="2" applyFont="1" applyBorder="1" applyAlignment="1">
      <alignment horizontal="left" vertical="top" wrapText="1"/>
    </xf>
    <xf numFmtId="164" fontId="4" fillId="0" borderId="8" xfId="2" applyNumberFormat="1" applyFont="1" applyBorder="1" applyAlignment="1">
      <alignment horizontal="right" vertical="top"/>
    </xf>
    <xf numFmtId="9" fontId="0" fillId="0" borderId="0" xfId="0" applyNumberFormat="1"/>
    <xf numFmtId="9" fontId="0" fillId="0" borderId="0" xfId="1" applyFont="1"/>
    <xf numFmtId="1" fontId="0" fillId="0" borderId="0" xfId="0" applyNumberFormat="1"/>
    <xf numFmtId="0" fontId="0" fillId="0" borderId="0" xfId="0" applyAlignment="1">
      <alignment horizontal="center"/>
    </xf>
    <xf numFmtId="0" fontId="5" fillId="0" borderId="0" xfId="2" applyFont="1" applyFill="1" applyBorder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center"/>
    </xf>
    <xf numFmtId="3" fontId="6" fillId="0" borderId="0" xfId="0" applyNumberFormat="1" applyFont="1"/>
    <xf numFmtId="9" fontId="6" fillId="0" borderId="0" xfId="1" applyFont="1"/>
    <xf numFmtId="0" fontId="7" fillId="0" borderId="0" xfId="2" applyFont="1" applyFill="1" applyBorder="1" applyAlignment="1">
      <alignment vertical="top" wrapText="1"/>
    </xf>
    <xf numFmtId="0" fontId="6" fillId="0" borderId="0" xfId="0" applyFont="1" applyAlignment="1">
      <alignment wrapText="1"/>
    </xf>
    <xf numFmtId="0" fontId="2" fillId="0" borderId="0" xfId="0" applyFont="1"/>
    <xf numFmtId="0" fontId="0" fillId="2" borderId="0" xfId="0" applyFill="1"/>
    <xf numFmtId="9" fontId="0" fillId="2" borderId="0" xfId="1" applyFont="1" applyFill="1"/>
    <xf numFmtId="0" fontId="8" fillId="0" borderId="7" xfId="2" applyFont="1" applyBorder="1" applyAlignment="1">
      <alignment horizontal="left" vertical="top" wrapText="1"/>
    </xf>
    <xf numFmtId="0" fontId="5" fillId="0" borderId="5" xfId="2" applyFont="1" applyBorder="1" applyAlignment="1">
      <alignment horizontal="left" vertical="top" wrapText="1"/>
    </xf>
    <xf numFmtId="9" fontId="0" fillId="3" borderId="0" xfId="1" applyFont="1" applyFill="1"/>
    <xf numFmtId="0" fontId="9" fillId="0" borderId="9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1" fillId="4" borderId="9" xfId="0" applyFont="1" applyFill="1" applyBorder="1" applyAlignment="1">
      <alignment vertical="center" wrapText="1"/>
    </xf>
    <xf numFmtId="9" fontId="10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horizontal="center" vertical="center" wrapText="1"/>
    </xf>
    <xf numFmtId="9" fontId="10" fillId="0" borderId="9" xfId="0" applyNumberFormat="1" applyFont="1" applyBorder="1" applyAlignment="1">
      <alignment horizontal="center" vertical="center"/>
    </xf>
    <xf numFmtId="9" fontId="11" fillId="4" borderId="9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_EchantillonPref" xfId="2" xr:uid="{245E0E18-8A73-4B64-8ADC-CF478D222A35}"/>
    <cellStyle name="Percent" xfId="1" builtinId="5"/>
  </cellStyles>
  <dxfs count="0"/>
  <tableStyles count="0" defaultTableStyle="TableStyleMedium2" defaultPivotStyle="PivotStyleLight16"/>
  <colors>
    <mruColors>
      <color rgb="FFFF7C80"/>
      <color rgb="FFFF505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/>
              <a:t>Age Distribution of the HH 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351178210940054E-2"/>
          <c:y val="0.12113665947455637"/>
          <c:w val="0.87687026762703213"/>
          <c:h val="0.7055620138106287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%Females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Sheet1!$C$2:$C$10</c:f>
              <c:strCache>
                <c:ptCount val="9"/>
                <c:pt idx="0">
                  <c:v>&lt; 25</c:v>
                </c:pt>
                <c:pt idx="1">
                  <c:v>26 - 30</c:v>
                </c:pt>
                <c:pt idx="2">
                  <c:v>31 - 35</c:v>
                </c:pt>
                <c:pt idx="3">
                  <c:v>36 - 40</c:v>
                </c:pt>
                <c:pt idx="4">
                  <c:v>41 - 45</c:v>
                </c:pt>
                <c:pt idx="5">
                  <c:v>46 - 50</c:v>
                </c:pt>
                <c:pt idx="6">
                  <c:v>51 - 55</c:v>
                </c:pt>
                <c:pt idx="7">
                  <c:v>56 - 60</c:v>
                </c:pt>
                <c:pt idx="8">
                  <c:v>&gt; 60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-9.82</c:v>
                </c:pt>
                <c:pt idx="1">
                  <c:v>-10.86</c:v>
                </c:pt>
                <c:pt idx="2">
                  <c:v>-12.09</c:v>
                </c:pt>
                <c:pt idx="3">
                  <c:v>-13.73</c:v>
                </c:pt>
                <c:pt idx="4">
                  <c:v>-11.34</c:v>
                </c:pt>
                <c:pt idx="5">
                  <c:v>-11.24</c:v>
                </c:pt>
                <c:pt idx="6">
                  <c:v>-8.31</c:v>
                </c:pt>
                <c:pt idx="7">
                  <c:v>-8.2799999999999994</c:v>
                </c:pt>
                <c:pt idx="8">
                  <c:v>-14.33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8-431E-A0A4-A06995BCAA9B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%Male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Sheet1!$C$2:$C$10</c:f>
              <c:strCache>
                <c:ptCount val="9"/>
                <c:pt idx="0">
                  <c:v>&lt; 25</c:v>
                </c:pt>
                <c:pt idx="1">
                  <c:v>26 - 30</c:v>
                </c:pt>
                <c:pt idx="2">
                  <c:v>31 - 35</c:v>
                </c:pt>
                <c:pt idx="3">
                  <c:v>36 - 40</c:v>
                </c:pt>
                <c:pt idx="4">
                  <c:v>41 - 45</c:v>
                </c:pt>
                <c:pt idx="5">
                  <c:v>46 - 50</c:v>
                </c:pt>
                <c:pt idx="6">
                  <c:v>51 - 55</c:v>
                </c:pt>
                <c:pt idx="7">
                  <c:v>56 - 60</c:v>
                </c:pt>
                <c:pt idx="8">
                  <c:v>&gt; 60</c:v>
                </c:pt>
              </c:strCache>
            </c: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9.92</c:v>
                </c:pt>
                <c:pt idx="1">
                  <c:v>13.46</c:v>
                </c:pt>
                <c:pt idx="2">
                  <c:v>14.16</c:v>
                </c:pt>
                <c:pt idx="3">
                  <c:v>16.510000000000002</c:v>
                </c:pt>
                <c:pt idx="4">
                  <c:v>14.92</c:v>
                </c:pt>
                <c:pt idx="5">
                  <c:v>10.64</c:v>
                </c:pt>
                <c:pt idx="6">
                  <c:v>7.86</c:v>
                </c:pt>
                <c:pt idx="7">
                  <c:v>4.9800000000000004</c:v>
                </c:pt>
                <c:pt idx="8">
                  <c:v>7.55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8-431E-A0A4-A06995BCA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24426192"/>
        <c:axId val="539453424"/>
      </c:barChart>
      <c:catAx>
        <c:axId val="42442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53424"/>
        <c:crosses val="autoZero"/>
        <c:auto val="1"/>
        <c:lblAlgn val="ctr"/>
        <c:lblOffset val="100"/>
        <c:noMultiLvlLbl val="0"/>
      </c:catAx>
      <c:valAx>
        <c:axId val="539453424"/>
        <c:scaling>
          <c:orientation val="minMax"/>
          <c:max val="20"/>
          <c:min val="-2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00;[Black]#,#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2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Educational</a:t>
            </a:r>
            <a:r>
              <a:rPr lang="en-GB" sz="1200" baseline="0"/>
              <a:t> Status of the HH Head by Sex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Sheet1!$A$35:$A$40</c:f>
              <c:strCache>
                <c:ptCount val="6"/>
                <c:pt idx="0">
                  <c:v>No Education</c:v>
                </c:pt>
                <c:pt idx="1">
                  <c:v>Literate or Koranic</c:v>
                </c:pt>
                <c:pt idx="2">
                  <c:v>Primairy (CP1 to CM2)</c:v>
                </c:pt>
                <c:pt idx="3">
                  <c:v>Secondary (Collège/Lincense)</c:v>
                </c:pt>
                <c:pt idx="4">
                  <c:v>Higher (University)</c:v>
                </c:pt>
                <c:pt idx="5">
                  <c:v>Vocational and technical education</c:v>
                </c:pt>
              </c:strCache>
            </c:strRef>
          </c:cat>
          <c:val>
            <c:numRef>
              <c:f>Sheet1!$B$35:$B$40</c:f>
              <c:numCache>
                <c:formatCode>0%</c:formatCode>
                <c:ptCount val="6"/>
                <c:pt idx="0">
                  <c:v>0.24429999999999999</c:v>
                </c:pt>
                <c:pt idx="1">
                  <c:v>2.92E-2</c:v>
                </c:pt>
                <c:pt idx="2">
                  <c:v>0.48620000000000002</c:v>
                </c:pt>
                <c:pt idx="3">
                  <c:v>0.19750000000000001</c:v>
                </c:pt>
                <c:pt idx="4">
                  <c:v>3.4599999999999999E-2</c:v>
                </c:pt>
                <c:pt idx="5">
                  <c:v>8.2000000000000007E-3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D-41D7-B822-B95F4EDA51A8}"/>
            </c:ext>
          </c:extLst>
        </c:ser>
        <c:ser>
          <c:idx val="1"/>
          <c:order val="1"/>
          <c:tx>
            <c:strRef>
              <c:f>Sheet1!$C$34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Sheet1!$A$35:$A$40</c:f>
              <c:strCache>
                <c:ptCount val="6"/>
                <c:pt idx="0">
                  <c:v>No Education</c:v>
                </c:pt>
                <c:pt idx="1">
                  <c:v>Literate or Koranic</c:v>
                </c:pt>
                <c:pt idx="2">
                  <c:v>Primairy (CP1 to CM2)</c:v>
                </c:pt>
                <c:pt idx="3">
                  <c:v>Secondary (Collège/Lincense)</c:v>
                </c:pt>
                <c:pt idx="4">
                  <c:v>Higher (University)</c:v>
                </c:pt>
                <c:pt idx="5">
                  <c:v>Vocational and technical education</c:v>
                </c:pt>
              </c:strCache>
            </c:strRef>
          </c:cat>
          <c:val>
            <c:numRef>
              <c:f>Sheet1!$C$35:$C$40</c:f>
              <c:numCache>
                <c:formatCode>0%</c:formatCode>
                <c:ptCount val="6"/>
                <c:pt idx="0">
                  <c:v>0.36899999999999999</c:v>
                </c:pt>
                <c:pt idx="1">
                  <c:v>3.2399999999999998E-2</c:v>
                </c:pt>
                <c:pt idx="2">
                  <c:v>0.4118</c:v>
                </c:pt>
                <c:pt idx="3">
                  <c:v>0.153</c:v>
                </c:pt>
                <c:pt idx="4">
                  <c:v>2.64E-2</c:v>
                </c:pt>
                <c:pt idx="5">
                  <c:v>7.1999999999999998E-3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8D-41D7-B822-B95F4EDA51A8}"/>
            </c:ext>
          </c:extLst>
        </c:ser>
        <c:ser>
          <c:idx val="2"/>
          <c:order val="2"/>
          <c:tx>
            <c:strRef>
              <c:f>Sheet1!$D$34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Sheet1!$A$35:$A$40</c:f>
              <c:strCache>
                <c:ptCount val="6"/>
                <c:pt idx="0">
                  <c:v>No Education</c:v>
                </c:pt>
                <c:pt idx="1">
                  <c:v>Literate or Koranic</c:v>
                </c:pt>
                <c:pt idx="2">
                  <c:v>Primairy (CP1 to CM2)</c:v>
                </c:pt>
                <c:pt idx="3">
                  <c:v>Secondary (Collège/Lincense)</c:v>
                </c:pt>
                <c:pt idx="4">
                  <c:v>Higher (University)</c:v>
                </c:pt>
                <c:pt idx="5">
                  <c:v>Vocational and technical education</c:v>
                </c:pt>
              </c:strCache>
            </c:strRef>
          </c:cat>
          <c:val>
            <c:numRef>
              <c:f>Sheet1!$D$35:$D$40</c:f>
              <c:numCache>
                <c:formatCode>0%</c:formatCode>
                <c:ptCount val="6"/>
                <c:pt idx="0">
                  <c:v>0.1981</c:v>
                </c:pt>
                <c:pt idx="1">
                  <c:v>2.8000000000000001E-2</c:v>
                </c:pt>
                <c:pt idx="2">
                  <c:v>0.51380000000000003</c:v>
                </c:pt>
                <c:pt idx="3">
                  <c:v>0.214</c:v>
                </c:pt>
                <c:pt idx="4">
                  <c:v>3.7699999999999997E-2</c:v>
                </c:pt>
                <c:pt idx="5">
                  <c:v>8.5000000000000006E-3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8D-41D7-B822-B95F4EDA5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0706800"/>
        <c:axId val="425856112"/>
      </c:barChart>
      <c:catAx>
        <c:axId val="17070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5856112"/>
        <c:crosses val="autoZero"/>
        <c:auto val="1"/>
        <c:lblAlgn val="ctr"/>
        <c:lblOffset val="100"/>
        <c:noMultiLvlLbl val="0"/>
      </c:catAx>
      <c:valAx>
        <c:axId val="42585611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70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FOod</a:t>
            </a:r>
            <a:r>
              <a:rPr lang="en-GB" sz="1200" baseline="0"/>
              <a:t> security by prefecture (CARI)</a:t>
            </a:r>
            <a:endParaRPr lang="en-GB" sz="1200"/>
          </a:p>
        </c:rich>
      </c:tx>
      <c:layout>
        <c:manualLayout>
          <c:xMode val="edge"/>
          <c:yMode val="edge"/>
          <c:x val="0.29236652580337891"/>
          <c:y val="2.3082148366415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Sheet1!$C$55</c:f>
              <c:strCache>
                <c:ptCount val="1"/>
                <c:pt idx="0">
                  <c:v>Food secure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Sheet1!$A$56:$A$73</c:f>
              <c:strCache>
                <c:ptCount val="18"/>
                <c:pt idx="0">
                  <c:v>Bamingui-Bangoran</c:v>
                </c:pt>
                <c:pt idx="1">
                  <c:v>Bangui</c:v>
                </c:pt>
                <c:pt idx="2">
                  <c:v>Basse-Kotto</c:v>
                </c:pt>
                <c:pt idx="3">
                  <c:v>Haute-Kotto</c:v>
                </c:pt>
                <c:pt idx="4">
                  <c:v>Haut-Mbomou</c:v>
                </c:pt>
                <c:pt idx="5">
                  <c:v>Kémo</c:v>
                </c:pt>
                <c:pt idx="6">
                  <c:v>Lobaye</c:v>
                </c:pt>
                <c:pt idx="7">
                  <c:v>Mambéré-Kadéi</c:v>
                </c:pt>
                <c:pt idx="8">
                  <c:v>Mbomou</c:v>
                </c:pt>
                <c:pt idx="9">
                  <c:v>Nana-Grebizi</c:v>
                </c:pt>
                <c:pt idx="10">
                  <c:v>Nana-Mambere</c:v>
                </c:pt>
                <c:pt idx="11">
                  <c:v>Ombella-Mpoko</c:v>
                </c:pt>
                <c:pt idx="12">
                  <c:v>Ouaka</c:v>
                </c:pt>
                <c:pt idx="13">
                  <c:v>Ouham</c:v>
                </c:pt>
                <c:pt idx="14">
                  <c:v>Ouham-Pendé</c:v>
                </c:pt>
                <c:pt idx="15">
                  <c:v>Sangha-Mbaéré</c:v>
                </c:pt>
                <c:pt idx="16">
                  <c:v>Vakaga</c:v>
                </c:pt>
                <c:pt idx="17">
                  <c:v>National</c:v>
                </c:pt>
              </c:strCache>
            </c:strRef>
          </c:cat>
          <c:val>
            <c:numRef>
              <c:f>Sheet1!$C$56:$C$73</c:f>
              <c:numCache>
                <c:formatCode>0%</c:formatCode>
                <c:ptCount val="18"/>
                <c:pt idx="0">
                  <c:v>7.9799999999999996E-2</c:v>
                </c:pt>
                <c:pt idx="1">
                  <c:v>0.47870000000000001</c:v>
                </c:pt>
                <c:pt idx="2">
                  <c:v>0.30120000000000002</c:v>
                </c:pt>
                <c:pt idx="3">
                  <c:v>0.109</c:v>
                </c:pt>
                <c:pt idx="4">
                  <c:v>4.1700000000000001E-2</c:v>
                </c:pt>
                <c:pt idx="5">
                  <c:v>0.2127</c:v>
                </c:pt>
                <c:pt idx="6">
                  <c:v>0.10299999999999999</c:v>
                </c:pt>
                <c:pt idx="7">
                  <c:v>5.96E-2</c:v>
                </c:pt>
                <c:pt idx="8">
                  <c:v>8.9099999999999999E-2</c:v>
                </c:pt>
                <c:pt idx="9">
                  <c:v>0.19389999999999999</c:v>
                </c:pt>
                <c:pt idx="10">
                  <c:v>0.1273</c:v>
                </c:pt>
                <c:pt idx="11">
                  <c:v>0.28370000000000001</c:v>
                </c:pt>
                <c:pt idx="12">
                  <c:v>0.1923</c:v>
                </c:pt>
                <c:pt idx="13">
                  <c:v>0.1096</c:v>
                </c:pt>
                <c:pt idx="14">
                  <c:v>0.2014</c:v>
                </c:pt>
                <c:pt idx="15">
                  <c:v>0.11</c:v>
                </c:pt>
                <c:pt idx="16">
                  <c:v>0.20200000000000001</c:v>
                </c:pt>
                <c:pt idx="17">
                  <c:v>0.20230000000000001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C-453E-8101-C434BB36BD34}"/>
            </c:ext>
          </c:extLst>
        </c:ser>
        <c:ser>
          <c:idx val="1"/>
          <c:order val="1"/>
          <c:tx>
            <c:strRef>
              <c:f>Sheet1!$D$55</c:f>
              <c:strCache>
                <c:ptCount val="1"/>
                <c:pt idx="0">
                  <c:v>Marginally food secure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Sheet1!$A$56:$A$73</c:f>
              <c:strCache>
                <c:ptCount val="18"/>
                <c:pt idx="0">
                  <c:v>Bamingui-Bangoran</c:v>
                </c:pt>
                <c:pt idx="1">
                  <c:v>Bangui</c:v>
                </c:pt>
                <c:pt idx="2">
                  <c:v>Basse-Kotto</c:v>
                </c:pt>
                <c:pt idx="3">
                  <c:v>Haute-Kotto</c:v>
                </c:pt>
                <c:pt idx="4">
                  <c:v>Haut-Mbomou</c:v>
                </c:pt>
                <c:pt idx="5">
                  <c:v>Kémo</c:v>
                </c:pt>
                <c:pt idx="6">
                  <c:v>Lobaye</c:v>
                </c:pt>
                <c:pt idx="7">
                  <c:v>Mambéré-Kadéi</c:v>
                </c:pt>
                <c:pt idx="8">
                  <c:v>Mbomou</c:v>
                </c:pt>
                <c:pt idx="9">
                  <c:v>Nana-Grebizi</c:v>
                </c:pt>
                <c:pt idx="10">
                  <c:v>Nana-Mambere</c:v>
                </c:pt>
                <c:pt idx="11">
                  <c:v>Ombella-Mpoko</c:v>
                </c:pt>
                <c:pt idx="12">
                  <c:v>Ouaka</c:v>
                </c:pt>
                <c:pt idx="13">
                  <c:v>Ouham</c:v>
                </c:pt>
                <c:pt idx="14">
                  <c:v>Ouham-Pendé</c:v>
                </c:pt>
                <c:pt idx="15">
                  <c:v>Sangha-Mbaéré</c:v>
                </c:pt>
                <c:pt idx="16">
                  <c:v>Vakaga</c:v>
                </c:pt>
                <c:pt idx="17">
                  <c:v>National</c:v>
                </c:pt>
              </c:strCache>
            </c:strRef>
          </c:cat>
          <c:val>
            <c:numRef>
              <c:f>Sheet1!$D$56:$D$73</c:f>
              <c:numCache>
                <c:formatCode>0%</c:formatCode>
                <c:ptCount val="18"/>
                <c:pt idx="0">
                  <c:v>0.44130000000000003</c:v>
                </c:pt>
                <c:pt idx="1">
                  <c:v>0.45800000000000002</c:v>
                </c:pt>
                <c:pt idx="2">
                  <c:v>0.48359999999999997</c:v>
                </c:pt>
                <c:pt idx="3">
                  <c:v>0.35899999999999999</c:v>
                </c:pt>
                <c:pt idx="4">
                  <c:v>0.29170000000000001</c:v>
                </c:pt>
                <c:pt idx="5">
                  <c:v>0.52059999999999995</c:v>
                </c:pt>
                <c:pt idx="6">
                  <c:v>0.36359999999999998</c:v>
                </c:pt>
                <c:pt idx="7">
                  <c:v>0.41909999999999997</c:v>
                </c:pt>
                <c:pt idx="8">
                  <c:v>0.49080000000000001</c:v>
                </c:pt>
                <c:pt idx="9">
                  <c:v>0.56669999999999998</c:v>
                </c:pt>
                <c:pt idx="10">
                  <c:v>0.4829</c:v>
                </c:pt>
                <c:pt idx="11">
                  <c:v>0.63539999999999996</c:v>
                </c:pt>
                <c:pt idx="12">
                  <c:v>0.49159999999999998</c:v>
                </c:pt>
                <c:pt idx="13">
                  <c:v>0.36249999999999999</c:v>
                </c:pt>
                <c:pt idx="14">
                  <c:v>0.43940000000000001</c:v>
                </c:pt>
                <c:pt idx="15">
                  <c:v>0.40670000000000001</c:v>
                </c:pt>
                <c:pt idx="16">
                  <c:v>0.64529999999999998</c:v>
                </c:pt>
                <c:pt idx="17">
                  <c:v>0.45810000000000001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C-453E-8101-C434BB36BD34}"/>
            </c:ext>
          </c:extLst>
        </c:ser>
        <c:ser>
          <c:idx val="2"/>
          <c:order val="2"/>
          <c:tx>
            <c:strRef>
              <c:f>Sheet1!$E$55</c:f>
              <c:strCache>
                <c:ptCount val="1"/>
                <c:pt idx="0">
                  <c:v>Moderately food insecure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Sheet1!$A$56:$A$73</c:f>
              <c:strCache>
                <c:ptCount val="18"/>
                <c:pt idx="0">
                  <c:v>Bamingui-Bangoran</c:v>
                </c:pt>
                <c:pt idx="1">
                  <c:v>Bangui</c:v>
                </c:pt>
                <c:pt idx="2">
                  <c:v>Basse-Kotto</c:v>
                </c:pt>
                <c:pt idx="3">
                  <c:v>Haute-Kotto</c:v>
                </c:pt>
                <c:pt idx="4">
                  <c:v>Haut-Mbomou</c:v>
                </c:pt>
                <c:pt idx="5">
                  <c:v>Kémo</c:v>
                </c:pt>
                <c:pt idx="6">
                  <c:v>Lobaye</c:v>
                </c:pt>
                <c:pt idx="7">
                  <c:v>Mambéré-Kadéi</c:v>
                </c:pt>
                <c:pt idx="8">
                  <c:v>Mbomou</c:v>
                </c:pt>
                <c:pt idx="9">
                  <c:v>Nana-Grebizi</c:v>
                </c:pt>
                <c:pt idx="10">
                  <c:v>Nana-Mambere</c:v>
                </c:pt>
                <c:pt idx="11">
                  <c:v>Ombella-Mpoko</c:v>
                </c:pt>
                <c:pt idx="12">
                  <c:v>Ouaka</c:v>
                </c:pt>
                <c:pt idx="13">
                  <c:v>Ouham</c:v>
                </c:pt>
                <c:pt idx="14">
                  <c:v>Ouham-Pendé</c:v>
                </c:pt>
                <c:pt idx="15">
                  <c:v>Sangha-Mbaéré</c:v>
                </c:pt>
                <c:pt idx="16">
                  <c:v>Vakaga</c:v>
                </c:pt>
                <c:pt idx="17">
                  <c:v>National</c:v>
                </c:pt>
              </c:strCache>
            </c:strRef>
          </c:cat>
          <c:val>
            <c:numRef>
              <c:f>Sheet1!$E$56:$E$73</c:f>
              <c:numCache>
                <c:formatCode>0%</c:formatCode>
                <c:ptCount val="18"/>
                <c:pt idx="0">
                  <c:v>0.46479999999999999</c:v>
                </c:pt>
                <c:pt idx="1">
                  <c:v>6.08E-2</c:v>
                </c:pt>
                <c:pt idx="2">
                  <c:v>0.19589999999999999</c:v>
                </c:pt>
                <c:pt idx="3">
                  <c:v>0.48399999999999999</c:v>
                </c:pt>
                <c:pt idx="4">
                  <c:v>0.59309999999999996</c:v>
                </c:pt>
                <c:pt idx="5">
                  <c:v>0.26669999999999999</c:v>
                </c:pt>
                <c:pt idx="6">
                  <c:v>0.49819999999999998</c:v>
                </c:pt>
                <c:pt idx="7">
                  <c:v>0.40210000000000001</c:v>
                </c:pt>
                <c:pt idx="8">
                  <c:v>0.39660000000000001</c:v>
                </c:pt>
                <c:pt idx="9">
                  <c:v>0.2394</c:v>
                </c:pt>
                <c:pt idx="10">
                  <c:v>0.33389999999999997</c:v>
                </c:pt>
                <c:pt idx="11">
                  <c:v>7.6200000000000004E-2</c:v>
                </c:pt>
                <c:pt idx="12">
                  <c:v>0.30969999999999998</c:v>
                </c:pt>
                <c:pt idx="13">
                  <c:v>0.51890000000000003</c:v>
                </c:pt>
                <c:pt idx="14">
                  <c:v>0.34849999999999998</c:v>
                </c:pt>
                <c:pt idx="15">
                  <c:v>0.35649999999999998</c:v>
                </c:pt>
                <c:pt idx="16">
                  <c:v>0.13789999999999999</c:v>
                </c:pt>
                <c:pt idx="17">
                  <c:v>0.30880000000000002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C-453E-8101-C434BB36BD34}"/>
            </c:ext>
          </c:extLst>
        </c:ser>
        <c:ser>
          <c:idx val="3"/>
          <c:order val="3"/>
          <c:tx>
            <c:strRef>
              <c:f>Sheet1!$F$55</c:f>
              <c:strCache>
                <c:ptCount val="1"/>
                <c:pt idx="0">
                  <c:v>Severly food insecure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Sheet1!$A$56:$A$73</c:f>
              <c:strCache>
                <c:ptCount val="18"/>
                <c:pt idx="0">
                  <c:v>Bamingui-Bangoran</c:v>
                </c:pt>
                <c:pt idx="1">
                  <c:v>Bangui</c:v>
                </c:pt>
                <c:pt idx="2">
                  <c:v>Basse-Kotto</c:v>
                </c:pt>
                <c:pt idx="3">
                  <c:v>Haute-Kotto</c:v>
                </c:pt>
                <c:pt idx="4">
                  <c:v>Haut-Mbomou</c:v>
                </c:pt>
                <c:pt idx="5">
                  <c:v>Kémo</c:v>
                </c:pt>
                <c:pt idx="6">
                  <c:v>Lobaye</c:v>
                </c:pt>
                <c:pt idx="7">
                  <c:v>Mambéré-Kadéi</c:v>
                </c:pt>
                <c:pt idx="8">
                  <c:v>Mbomou</c:v>
                </c:pt>
                <c:pt idx="9">
                  <c:v>Nana-Grebizi</c:v>
                </c:pt>
                <c:pt idx="10">
                  <c:v>Nana-Mambere</c:v>
                </c:pt>
                <c:pt idx="11">
                  <c:v>Ombella-Mpoko</c:v>
                </c:pt>
                <c:pt idx="12">
                  <c:v>Ouaka</c:v>
                </c:pt>
                <c:pt idx="13">
                  <c:v>Ouham</c:v>
                </c:pt>
                <c:pt idx="14">
                  <c:v>Ouham-Pendé</c:v>
                </c:pt>
                <c:pt idx="15">
                  <c:v>Sangha-Mbaéré</c:v>
                </c:pt>
                <c:pt idx="16">
                  <c:v>Vakaga</c:v>
                </c:pt>
                <c:pt idx="17">
                  <c:v>National</c:v>
                </c:pt>
              </c:strCache>
            </c:strRef>
          </c:cat>
          <c:val>
            <c:numRef>
              <c:f>Sheet1!$F$56:$F$73</c:f>
              <c:numCache>
                <c:formatCode>0%</c:formatCode>
                <c:ptCount val="18"/>
                <c:pt idx="0">
                  <c:v>1.41E-2</c:v>
                </c:pt>
                <c:pt idx="1">
                  <c:v>2.3999999999999998E-3</c:v>
                </c:pt>
                <c:pt idx="2">
                  <c:v>1.9199999999999998E-2</c:v>
                </c:pt>
                <c:pt idx="3">
                  <c:v>4.7899999999999998E-2</c:v>
                </c:pt>
                <c:pt idx="4">
                  <c:v>7.3499999999999996E-2</c:v>
                </c:pt>
                <c:pt idx="6">
                  <c:v>3.5200000000000002E-2</c:v>
                </c:pt>
                <c:pt idx="7">
                  <c:v>0.1192</c:v>
                </c:pt>
                <c:pt idx="8">
                  <c:v>2.35E-2</c:v>
                </c:pt>
                <c:pt idx="10">
                  <c:v>5.5899999999999998E-2</c:v>
                </c:pt>
                <c:pt idx="11">
                  <c:v>4.5999999999999999E-2</c:v>
                </c:pt>
                <c:pt idx="12">
                  <c:v>6.5000000000000002E-2</c:v>
                </c:pt>
                <c:pt idx="13">
                  <c:v>8.9999999999999993E-3</c:v>
                </c:pt>
                <c:pt idx="14">
                  <c:v>1.0699999999999999E-2</c:v>
                </c:pt>
                <c:pt idx="15">
                  <c:v>0.1268</c:v>
                </c:pt>
                <c:pt idx="16">
                  <c:v>1.4800000000000001E-2</c:v>
                </c:pt>
                <c:pt idx="17">
                  <c:v>3.0700000000000002E-2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C-453E-8101-C434BB36BD3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7"/>
        <c:overlap val="100"/>
        <c:axId val="297872032"/>
        <c:axId val="539453904"/>
      </c:barChart>
      <c:catAx>
        <c:axId val="29787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53904"/>
        <c:crosses val="autoZero"/>
        <c:auto val="1"/>
        <c:lblAlgn val="ctr"/>
        <c:lblOffset val="100"/>
        <c:noMultiLvlLbl val="0"/>
      </c:catAx>
      <c:valAx>
        <c:axId val="53945390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7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rCSI Strategies adopted by households because of</a:t>
            </a:r>
            <a:r>
              <a:rPr lang="en-US" baseline="0"/>
              <a:t> lack of food</a:t>
            </a:r>
            <a:endParaRPr lang="en-US"/>
          </a:p>
        </c:rich>
      </c:tx>
      <c:layout>
        <c:manualLayout>
          <c:xMode val="edge"/>
          <c:yMode val="edge"/>
          <c:x val="0.10467773999452053"/>
          <c:y val="2.174839391535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063933442480278E-2"/>
          <c:y val="0.11246151575580138"/>
          <c:w val="0.89585674510142232"/>
          <c:h val="0.84191456183163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Sheet1!$C$93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Sheet1!$A$94:$A$98</c:f>
              <c:strCache>
                <c:ptCount val="5"/>
                <c:pt idx="0">
                  <c:v>rCSIMealNb</c:v>
                </c:pt>
                <c:pt idx="1">
                  <c:v>rCSIMealAdult</c:v>
                </c:pt>
                <c:pt idx="2">
                  <c:v>rCSIMealSize</c:v>
                </c:pt>
                <c:pt idx="3">
                  <c:v>rCSIBorrow</c:v>
                </c:pt>
                <c:pt idx="4">
                  <c:v>rCSILessQlty</c:v>
                </c:pt>
              </c:strCache>
            </c:strRef>
          </c:cat>
          <c:val>
            <c:numRef>
              <c:f>Sheet1!$C$94:$C$98</c:f>
              <c:numCache>
                <c:formatCode>0%</c:formatCode>
                <c:ptCount val="5"/>
                <c:pt idx="0">
                  <c:v>0.49740000000000001</c:v>
                </c:pt>
                <c:pt idx="1">
                  <c:v>0.42130000000000001</c:v>
                </c:pt>
                <c:pt idx="2">
                  <c:v>0.65629999999999999</c:v>
                </c:pt>
                <c:pt idx="3">
                  <c:v>0.37169999999999997</c:v>
                </c:pt>
                <c:pt idx="4">
                  <c:v>0.81189999999999996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1-446B-9805-85E843705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7"/>
        <c:axId val="298142432"/>
        <c:axId val="432936848"/>
      </c:barChart>
      <c:catAx>
        <c:axId val="298142432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2936848"/>
        <c:crosses val="autoZero"/>
        <c:auto val="1"/>
        <c:lblAlgn val="ctr"/>
        <c:lblOffset val="100"/>
        <c:noMultiLvlLbl val="0"/>
      </c:catAx>
      <c:valAx>
        <c:axId val="4329368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814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Food security disaggregated by sex of HH 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242424242424242E-2"/>
          <c:y val="0.12757835177144911"/>
          <c:w val="0.95151515151515154"/>
          <c:h val="0.7083994407241150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Food secure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Sheet2!$A$2:$A$3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Sheet2!$B$2:$B$3</c:f>
              <c:numCache>
                <c:formatCode>0%</c:formatCode>
                <c:ptCount val="2"/>
                <c:pt idx="0">
                  <c:v>0.215</c:v>
                </c:pt>
                <c:pt idx="1">
                  <c:v>0.1681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5-4882-A099-19F124E82E59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Marginally food secure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Sheet2!$A$2:$A$3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Sheet2!$C$2:$C$3</c:f>
              <c:numCache>
                <c:formatCode>0%</c:formatCode>
                <c:ptCount val="2"/>
                <c:pt idx="0">
                  <c:v>0.45450000000000002</c:v>
                </c:pt>
                <c:pt idx="1">
                  <c:v>0.46789999999999998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5-4882-A099-19F124E82E59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Moderately food insecure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Sheet2!$A$2:$A$3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Sheet2!$D$2:$D$3</c:f>
              <c:numCache>
                <c:formatCode>0%</c:formatCode>
                <c:ptCount val="2"/>
                <c:pt idx="0">
                  <c:v>0.30109999999999998</c:v>
                </c:pt>
                <c:pt idx="1">
                  <c:v>0.32969999999999999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A5-4882-A099-19F124E82E59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Severely food insecure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Sheet2!$A$2:$A$3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Sheet2!$E$2:$E$3</c:f>
              <c:numCache>
                <c:formatCode>0%</c:formatCode>
                <c:ptCount val="2"/>
                <c:pt idx="0">
                  <c:v>2.9399999999999999E-2</c:v>
                </c:pt>
                <c:pt idx="1">
                  <c:v>3.4299999999999997E-2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A5-4882-A099-19F124E82E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432246208"/>
        <c:axId val="548783216"/>
      </c:barChart>
      <c:catAx>
        <c:axId val="43224620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783216"/>
        <c:crosses val="autoZero"/>
        <c:auto val="1"/>
        <c:lblAlgn val="ctr"/>
        <c:lblOffset val="100"/>
        <c:noMultiLvlLbl val="0"/>
      </c:catAx>
      <c:valAx>
        <c:axId val="54878321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3224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6039565302271104E-2"/>
          <c:y val="0.89825561524435615"/>
          <c:w val="0.82995943688857088"/>
          <c:h val="6.0060015862503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7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FCG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Sheet1!$C$116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Sheet1!$A$117:$A$119</c:f>
              <c:strCache>
                <c:ptCount val="3"/>
                <c:pt idx="0">
                  <c:v>Acceptable</c:v>
                </c:pt>
                <c:pt idx="1">
                  <c:v>Bordeline</c:v>
                </c:pt>
                <c:pt idx="2">
                  <c:v>Poor</c:v>
                </c:pt>
              </c:strCache>
            </c:strRef>
          </c:cat>
          <c:val>
            <c:numRef>
              <c:f>Sheet1!$C$117:$C$119</c:f>
              <c:numCache>
                <c:formatCode>0%</c:formatCode>
                <c:ptCount val="3"/>
                <c:pt idx="0">
                  <c:v>0.58050000000000002</c:v>
                </c:pt>
                <c:pt idx="1">
                  <c:v>0.27</c:v>
                </c:pt>
                <c:pt idx="2">
                  <c:v>0.14949999999999999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C-479E-8E1B-CDF06AB93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406771840"/>
        <c:axId val="297603808"/>
      </c:barChart>
      <c:catAx>
        <c:axId val="4067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603808"/>
        <c:crosses val="autoZero"/>
        <c:auto val="1"/>
        <c:lblAlgn val="ctr"/>
        <c:lblOffset val="100"/>
        <c:noMultiLvlLbl val="0"/>
      </c:catAx>
      <c:valAx>
        <c:axId val="2976038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7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HH Asset depletion categories</a:t>
            </a:r>
            <a:r>
              <a:rPr lang="en-US" baseline="0"/>
              <a:t> - (LCS)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Sheet1!$B$129:$C$129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87-4891-8736-4CF59E721BE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687-4891-8736-4CF59E721BE0}"/>
              </c:ext>
            </c:extLst>
          </c:dPt>
          <c:dPt>
            <c:idx val="2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87-4891-8736-4CF59E721BE0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687-4891-8736-4CF59E721B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Sheet1!$A$130:$A$133</c:f>
              <c:strCache>
                <c:ptCount val="4"/>
                <c:pt idx="0">
                  <c:v>HH not adopting coping strategies</c:v>
                </c:pt>
                <c:pt idx="1">
                  <c:v>Stress coping strategies</c:v>
                </c:pt>
                <c:pt idx="2">
                  <c:v>Crisis coping strategies</c:v>
                </c:pt>
                <c:pt idx="3">
                  <c:v>Emergency coping strategies</c:v>
                </c:pt>
              </c:strCache>
            </c:strRef>
          </c:cat>
          <c:val>
            <c:numRef>
              <c:f>Sheet1!$C$130:$C$133</c:f>
              <c:numCache>
                <c:formatCode>0%</c:formatCode>
                <c:ptCount val="4"/>
                <c:pt idx="0">
                  <c:v>0.4219</c:v>
                </c:pt>
                <c:pt idx="1">
                  <c:v>0.2898</c:v>
                </c:pt>
                <c:pt idx="2">
                  <c:v>0.2213</c:v>
                </c:pt>
                <c:pt idx="3">
                  <c:v>6.7100000000000007E-2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7-4891-8736-4CF59E721B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-27"/>
        <c:axId val="549263552"/>
        <c:axId val="436606816"/>
      </c:barChart>
      <c:catAx>
        <c:axId val="54926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6606816"/>
        <c:crosses val="autoZero"/>
        <c:auto val="1"/>
        <c:lblAlgn val="ctr"/>
        <c:lblOffset val="100"/>
        <c:noMultiLvlLbl val="1"/>
      </c:catAx>
      <c:valAx>
        <c:axId val="4366068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926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200">
                <a:latin typeface="Arial" panose="020B0604020202020204" pitchFamily="34" charset="0"/>
                <a:cs typeface="Arial" panose="020B0604020202020204" pitchFamily="34" charset="0"/>
              </a:rPr>
              <a:t>Source of household</a:t>
            </a:r>
            <a:r>
              <a:rPr lang="en-GB" sz="1200" baseline="0">
                <a:latin typeface="Arial" panose="020B0604020202020204" pitchFamily="34" charset="0"/>
                <a:cs typeface="Arial" panose="020B0604020202020204" pitchFamily="34" charset="0"/>
              </a:rPr>
              <a:t> food</a:t>
            </a:r>
            <a:endParaRPr lang="en-GB" sz="12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Sheet1!$A$141</c:f>
              <c:strCache>
                <c:ptCount val="1"/>
                <c:pt idx="0">
                  <c:v>Own production (food crops, market gardening, etc.)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Sheet1!$C$140:$I$140</c:f>
              <c:strCache>
                <c:ptCount val="7"/>
                <c:pt idx="0">
                  <c:v>Cereals</c:v>
                </c:pt>
                <c:pt idx="1">
                  <c:v>Root &amp; tubers</c:v>
                </c:pt>
                <c:pt idx="2">
                  <c:v>Proteins</c:v>
                </c:pt>
                <c:pt idx="3">
                  <c:v>Pulses</c:v>
                </c:pt>
                <c:pt idx="4">
                  <c:v>Dairy</c:v>
                </c:pt>
                <c:pt idx="5">
                  <c:v>Vegetables</c:v>
                </c:pt>
                <c:pt idx="6">
                  <c:v>Fruits</c:v>
                </c:pt>
              </c:strCache>
            </c:strRef>
          </c:cat>
          <c:val>
            <c:numRef>
              <c:f>Sheet1!$C$141:$I$141</c:f>
              <c:numCache>
                <c:formatCode>0%</c:formatCode>
                <c:ptCount val="7"/>
                <c:pt idx="0">
                  <c:v>9.7199999999999995E-2</c:v>
                </c:pt>
                <c:pt idx="1">
                  <c:v>0.47120000000000001</c:v>
                </c:pt>
                <c:pt idx="2">
                  <c:v>2.1299999999999999E-2</c:v>
                </c:pt>
                <c:pt idx="3">
                  <c:v>0.14799999999999999</c:v>
                </c:pt>
                <c:pt idx="4">
                  <c:v>2.24E-2</c:v>
                </c:pt>
                <c:pt idx="5">
                  <c:v>0.28050000000000003</c:v>
                </c:pt>
                <c:pt idx="6">
                  <c:v>0.47270000000000001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C-425E-8312-494622B8291D}"/>
            </c:ext>
          </c:extLst>
        </c:ser>
        <c:ser>
          <c:idx val="1"/>
          <c:order val="1"/>
          <c:tx>
            <c:strRef>
              <c:f>Sheet1!$A$142</c:f>
              <c:strCache>
                <c:ptCount val="1"/>
                <c:pt idx="0">
                  <c:v>Purchases (market, store)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Sheet1!$C$140:$I$140</c:f>
              <c:strCache>
                <c:ptCount val="7"/>
                <c:pt idx="0">
                  <c:v>Cereals</c:v>
                </c:pt>
                <c:pt idx="1">
                  <c:v>Root &amp; tubers</c:v>
                </c:pt>
                <c:pt idx="2">
                  <c:v>Proteins</c:v>
                </c:pt>
                <c:pt idx="3">
                  <c:v>Pulses</c:v>
                </c:pt>
                <c:pt idx="4">
                  <c:v>Dairy</c:v>
                </c:pt>
                <c:pt idx="5">
                  <c:v>Vegetables</c:v>
                </c:pt>
                <c:pt idx="6">
                  <c:v>Fruits</c:v>
                </c:pt>
              </c:strCache>
            </c:strRef>
          </c:cat>
          <c:val>
            <c:numRef>
              <c:f>Sheet1!$C$142:$I$142</c:f>
              <c:numCache>
                <c:formatCode>0%</c:formatCode>
                <c:ptCount val="7"/>
                <c:pt idx="0">
                  <c:v>0.86240000000000006</c:v>
                </c:pt>
                <c:pt idx="1">
                  <c:v>0.51459999999999995</c:v>
                </c:pt>
                <c:pt idx="2">
                  <c:v>0.86470000000000002</c:v>
                </c:pt>
                <c:pt idx="3">
                  <c:v>0.8377</c:v>
                </c:pt>
                <c:pt idx="4">
                  <c:v>0.95069999999999999</c:v>
                </c:pt>
                <c:pt idx="5">
                  <c:v>0.65669999999999995</c:v>
                </c:pt>
                <c:pt idx="6">
                  <c:v>0.29599999999999999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C-425E-8312-494622B8291D}"/>
            </c:ext>
          </c:extLst>
        </c:ser>
        <c:ser>
          <c:idx val="2"/>
          <c:order val="2"/>
          <c:tx>
            <c:strRef>
              <c:f>Sheet1!$A$143</c:f>
              <c:strCache>
                <c:ptCount val="1"/>
                <c:pt idx="0">
                  <c:v>Loan (store credit)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Sheet1!$C$140:$I$140</c:f>
              <c:strCache>
                <c:ptCount val="7"/>
                <c:pt idx="0">
                  <c:v>Cereals</c:v>
                </c:pt>
                <c:pt idx="1">
                  <c:v>Root &amp; tubers</c:v>
                </c:pt>
                <c:pt idx="2">
                  <c:v>Proteins</c:v>
                </c:pt>
                <c:pt idx="3">
                  <c:v>Pulses</c:v>
                </c:pt>
                <c:pt idx="4">
                  <c:v>Dairy</c:v>
                </c:pt>
                <c:pt idx="5">
                  <c:v>Vegetables</c:v>
                </c:pt>
                <c:pt idx="6">
                  <c:v>Fruits</c:v>
                </c:pt>
              </c:strCache>
            </c:strRef>
          </c:cat>
          <c:val>
            <c:numRef>
              <c:f>Sheet1!$C$143:$I$143</c:f>
              <c:numCache>
                <c:formatCode>0%</c:formatCode>
                <c:ptCount val="7"/>
                <c:pt idx="0">
                  <c:v>1E-3</c:v>
                </c:pt>
                <c:pt idx="1">
                  <c:v>5.0000000000000001E-4</c:v>
                </c:pt>
                <c:pt idx="2">
                  <c:v>8.9999999999999998E-4</c:v>
                </c:pt>
                <c:pt idx="3">
                  <c:v>4.0000000000000002E-4</c:v>
                </c:pt>
                <c:pt idx="4">
                  <c:v>3.7000000000000002E-3</c:v>
                </c:pt>
                <c:pt idx="5">
                  <c:v>4.0000000000000002E-4</c:v>
                </c:pt>
                <c:pt idx="6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C-425E-8312-494622B8291D}"/>
            </c:ext>
          </c:extLst>
        </c:ser>
        <c:ser>
          <c:idx val="3"/>
          <c:order val="3"/>
          <c:tx>
            <c:strRef>
              <c:f>Sheet1!$A$144</c:f>
              <c:strCache>
                <c:ptCount val="1"/>
                <c:pt idx="0">
                  <c:v>Gifts from friends/neighbors/relatives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Sheet1!$C$140:$I$140</c:f>
              <c:strCache>
                <c:ptCount val="7"/>
                <c:pt idx="0">
                  <c:v>Cereals</c:v>
                </c:pt>
                <c:pt idx="1">
                  <c:v>Root &amp; tubers</c:v>
                </c:pt>
                <c:pt idx="2">
                  <c:v>Proteins</c:v>
                </c:pt>
                <c:pt idx="3">
                  <c:v>Pulses</c:v>
                </c:pt>
                <c:pt idx="4">
                  <c:v>Dairy</c:v>
                </c:pt>
                <c:pt idx="5">
                  <c:v>Vegetables</c:v>
                </c:pt>
                <c:pt idx="6">
                  <c:v>Fruits</c:v>
                </c:pt>
              </c:strCache>
            </c:strRef>
          </c:cat>
          <c:val>
            <c:numRef>
              <c:f>Sheet1!$C$144:$I$144</c:f>
              <c:numCache>
                <c:formatCode>0%</c:formatCode>
                <c:ptCount val="7"/>
                <c:pt idx="0">
                  <c:v>1.38E-2</c:v>
                </c:pt>
                <c:pt idx="1">
                  <c:v>7.6E-3</c:v>
                </c:pt>
                <c:pt idx="2">
                  <c:v>7.7999999999999996E-3</c:v>
                </c:pt>
                <c:pt idx="3">
                  <c:v>6.3E-3</c:v>
                </c:pt>
                <c:pt idx="4">
                  <c:v>6.0000000000000001E-3</c:v>
                </c:pt>
                <c:pt idx="5">
                  <c:v>8.6E-3</c:v>
                </c:pt>
                <c:pt idx="6">
                  <c:v>2.8000000000000001E-2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DC-425E-8312-494622B8291D}"/>
            </c:ext>
          </c:extLst>
        </c:ser>
        <c:ser>
          <c:idx val="4"/>
          <c:order val="4"/>
          <c:tx>
            <c:strRef>
              <c:f>Sheet1!$A$145</c:f>
              <c:strCache>
                <c:ptCount val="1"/>
                <c:pt idx="0">
                  <c:v>Hunting/gathering/fishing/gathering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Sheet1!$C$140:$I$140</c:f>
              <c:strCache>
                <c:ptCount val="7"/>
                <c:pt idx="0">
                  <c:v>Cereals</c:v>
                </c:pt>
                <c:pt idx="1">
                  <c:v>Root &amp; tubers</c:v>
                </c:pt>
                <c:pt idx="2">
                  <c:v>Proteins</c:v>
                </c:pt>
                <c:pt idx="3">
                  <c:v>Pulses</c:v>
                </c:pt>
                <c:pt idx="4">
                  <c:v>Dairy</c:v>
                </c:pt>
                <c:pt idx="5">
                  <c:v>Vegetables</c:v>
                </c:pt>
                <c:pt idx="6">
                  <c:v>Fruits</c:v>
                </c:pt>
              </c:strCache>
            </c:strRef>
          </c:cat>
          <c:val>
            <c:numRef>
              <c:f>Sheet1!$C$145:$I$145</c:f>
              <c:numCache>
                <c:formatCode>0%</c:formatCode>
                <c:ptCount val="7"/>
                <c:pt idx="0">
                  <c:v>2.9999999999999997E-4</c:v>
                </c:pt>
                <c:pt idx="1">
                  <c:v>4.4000000000000003E-3</c:v>
                </c:pt>
                <c:pt idx="2">
                  <c:v>9.8599999999999993E-2</c:v>
                </c:pt>
                <c:pt idx="3">
                  <c:v>1E-4</c:v>
                </c:pt>
                <c:pt idx="4">
                  <c:v>6.9999999999999999E-4</c:v>
                </c:pt>
                <c:pt idx="5">
                  <c:v>5.1400000000000001E-2</c:v>
                </c:pt>
                <c:pt idx="6">
                  <c:v>0.20269999999999999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DC-425E-8312-494622B8291D}"/>
            </c:ext>
          </c:extLst>
        </c:ser>
        <c:ser>
          <c:idx val="5"/>
          <c:order val="5"/>
          <c:tx>
            <c:strRef>
              <c:f>Sheet1!$A$146</c:f>
              <c:strCache>
                <c:ptCount val="1"/>
                <c:pt idx="0">
                  <c:v>food-for-work exchanges 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Sheet1!$C$140:$I$140</c:f>
              <c:strCache>
                <c:ptCount val="7"/>
                <c:pt idx="0">
                  <c:v>Cereals</c:v>
                </c:pt>
                <c:pt idx="1">
                  <c:v>Root &amp; tubers</c:v>
                </c:pt>
                <c:pt idx="2">
                  <c:v>Proteins</c:v>
                </c:pt>
                <c:pt idx="3">
                  <c:v>Pulses</c:v>
                </c:pt>
                <c:pt idx="4">
                  <c:v>Dairy</c:v>
                </c:pt>
                <c:pt idx="5">
                  <c:v>Vegetables</c:v>
                </c:pt>
                <c:pt idx="6">
                  <c:v>Fruits</c:v>
                </c:pt>
              </c:strCache>
            </c:strRef>
          </c:cat>
          <c:val>
            <c:numRef>
              <c:f>Sheet1!$C$146:$I$146</c:f>
              <c:numCache>
                <c:formatCode>0%</c:formatCode>
                <c:ptCount val="7"/>
                <c:pt idx="0">
                  <c:v>3.5000000000000001E-3</c:v>
                </c:pt>
                <c:pt idx="1">
                  <c:v>1.1999999999999999E-3</c:v>
                </c:pt>
                <c:pt idx="2">
                  <c:v>5.1000000000000004E-3</c:v>
                </c:pt>
                <c:pt idx="3">
                  <c:v>1.6000000000000001E-3</c:v>
                </c:pt>
                <c:pt idx="4">
                  <c:v>3.0000000000000001E-3</c:v>
                </c:pt>
                <c:pt idx="5">
                  <c:v>1.1000000000000001E-3</c:v>
                </c:pt>
                <c:pt idx="6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DC-425E-8312-494622B8291D}"/>
            </c:ext>
          </c:extLst>
        </c:ser>
        <c:ser>
          <c:idx val="6"/>
          <c:order val="6"/>
          <c:tx>
            <c:strRef>
              <c:f>Sheet1!$A$147</c:f>
              <c:strCache>
                <c:ptCount val="1"/>
                <c:pt idx="0">
                  <c:v>Food aid from civil society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Sheet1!$C$140:$I$140</c:f>
              <c:strCache>
                <c:ptCount val="7"/>
                <c:pt idx="0">
                  <c:v>Cereals</c:v>
                </c:pt>
                <c:pt idx="1">
                  <c:v>Root &amp; tubers</c:v>
                </c:pt>
                <c:pt idx="2">
                  <c:v>Proteins</c:v>
                </c:pt>
                <c:pt idx="3">
                  <c:v>Pulses</c:v>
                </c:pt>
                <c:pt idx="4">
                  <c:v>Dairy</c:v>
                </c:pt>
                <c:pt idx="5">
                  <c:v>Vegetables</c:v>
                </c:pt>
                <c:pt idx="6">
                  <c:v>Fruits</c:v>
                </c:pt>
              </c:strCache>
            </c:strRef>
          </c:cat>
          <c:val>
            <c:numRef>
              <c:f>Sheet1!$C$147:$I$147</c:f>
              <c:numCache>
                <c:formatCode>0%</c:formatCode>
                <c:ptCount val="7"/>
                <c:pt idx="0">
                  <c:v>2.18E-2</c:v>
                </c:pt>
                <c:pt idx="1">
                  <c:v>5.0000000000000001E-4</c:v>
                </c:pt>
                <c:pt idx="2">
                  <c:v>1.6000000000000001E-3</c:v>
                </c:pt>
                <c:pt idx="3">
                  <c:v>4.8999999999999998E-3</c:v>
                </c:pt>
                <c:pt idx="4">
                  <c:v>1.35E-2</c:v>
                </c:pt>
                <c:pt idx="5">
                  <c:v>1.1999999999999999E-3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DC-425E-8312-494622B82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406833088"/>
        <c:axId val="2013715696"/>
      </c:barChart>
      <c:catAx>
        <c:axId val="40683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13715696"/>
        <c:crosses val="autoZero"/>
        <c:auto val="1"/>
        <c:lblAlgn val="ctr"/>
        <c:lblOffset val="100"/>
        <c:noMultiLvlLbl val="0"/>
      </c:catAx>
      <c:valAx>
        <c:axId val="20137156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83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2187226596675448E-3"/>
          <c:y val="0.86451485664943795"/>
          <c:w val="0.98045144356955383"/>
          <c:h val="0.123301010554478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Security Classification-CARI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614797620043879E-2"/>
          <c:y val="0.14660074488788247"/>
          <c:w val="0.88842919809324017"/>
          <c:h val="0.661255902008682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Sheet1!$G$161</c:f>
              <c:strCache>
                <c:ptCount val="1"/>
                <c:pt idx="0">
                  <c:v>Food secure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Sheet1!$H$160</c:f>
              <c:numCache>
                <c:formatCode>General</c:formatCode>
                <c:ptCount val="1"/>
              </c:numCache>
            </c:numRef>
          </c:cat>
          <c:val>
            <c:numRef>
              <c:f>Sheet1!$H$161</c:f>
              <c:numCache>
                <c:formatCode>0%</c:formatCode>
                <c:ptCount val="1"/>
                <c:pt idx="0">
                  <c:v>0.20230000000000001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B-478D-8BCD-8EB6957DA5FC}"/>
            </c:ext>
          </c:extLst>
        </c:ser>
        <c:ser>
          <c:idx val="1"/>
          <c:order val="1"/>
          <c:tx>
            <c:strRef>
              <c:f>Sheet1!$G$162</c:f>
              <c:strCache>
                <c:ptCount val="1"/>
                <c:pt idx="0">
                  <c:v>Marginally food secure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Sheet1!$H$160</c:f>
              <c:numCache>
                <c:formatCode>General</c:formatCode>
                <c:ptCount val="1"/>
              </c:numCache>
            </c:numRef>
          </c:cat>
          <c:val>
            <c:numRef>
              <c:f>Sheet1!$H$162</c:f>
              <c:numCache>
                <c:formatCode>0%</c:formatCode>
                <c:ptCount val="1"/>
                <c:pt idx="0">
                  <c:v>0.45810000000000001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B-478D-8BCD-8EB6957DA5FC}"/>
            </c:ext>
          </c:extLst>
        </c:ser>
        <c:ser>
          <c:idx val="2"/>
          <c:order val="2"/>
          <c:tx>
            <c:strRef>
              <c:f>Sheet1!$G$163</c:f>
              <c:strCache>
                <c:ptCount val="1"/>
                <c:pt idx="0">
                  <c:v>Moderately food insecure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Sheet1!$H$160</c:f>
              <c:numCache>
                <c:formatCode>General</c:formatCode>
                <c:ptCount val="1"/>
              </c:numCache>
            </c:numRef>
          </c:cat>
          <c:val>
            <c:numRef>
              <c:f>Sheet1!$H$163</c:f>
              <c:numCache>
                <c:formatCode>0%</c:formatCode>
                <c:ptCount val="1"/>
                <c:pt idx="0">
                  <c:v>0.30880000000000002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B-478D-8BCD-8EB6957DA5FC}"/>
            </c:ext>
          </c:extLst>
        </c:ser>
        <c:ser>
          <c:idx val="3"/>
          <c:order val="3"/>
          <c:tx>
            <c:strRef>
              <c:f>Sheet1!$G$164</c:f>
              <c:strCache>
                <c:ptCount val="1"/>
                <c:pt idx="0">
                  <c:v>Severely food insecure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Sheet1!$H$160</c:f>
              <c:numCache>
                <c:formatCode>General</c:formatCode>
                <c:ptCount val="1"/>
              </c:numCache>
            </c:numRef>
          </c:cat>
          <c:val>
            <c:numRef>
              <c:f>Sheet1!$H$164</c:f>
              <c:numCache>
                <c:formatCode>0%</c:formatCode>
                <c:ptCount val="1"/>
                <c:pt idx="0">
                  <c:v>3.0700000000000002E-2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AB-478D-8BCD-8EB6957DA5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6807568"/>
        <c:axId val="2013718096"/>
      </c:barChart>
      <c:catAx>
        <c:axId val="40680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718096"/>
        <c:crosses val="autoZero"/>
        <c:auto val="1"/>
        <c:lblAlgn val="ctr"/>
        <c:lblOffset val="100"/>
        <c:noMultiLvlLbl val="0"/>
      </c:catAx>
      <c:valAx>
        <c:axId val="20137180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80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Sheet1!$C$182</c:f>
              <c:strCache>
                <c:ptCount val="1"/>
                <c:pt idx="0">
                  <c:v>Average HDDS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Sheet1!$A$183:$B$200</c:f>
              <c:strCache>
                <c:ptCount val="18"/>
                <c:pt idx="0">
                  <c:v>Bamingui-Bangoran</c:v>
                </c:pt>
                <c:pt idx="1">
                  <c:v>Bangui</c:v>
                </c:pt>
                <c:pt idx="2">
                  <c:v>Basse-Kotto</c:v>
                </c:pt>
                <c:pt idx="3">
                  <c:v>Haute-Kotto</c:v>
                </c:pt>
                <c:pt idx="4">
                  <c:v>Haut-Mbomou</c:v>
                </c:pt>
                <c:pt idx="5">
                  <c:v>Kémo</c:v>
                </c:pt>
                <c:pt idx="6">
                  <c:v>Lobaye</c:v>
                </c:pt>
                <c:pt idx="7">
                  <c:v>Mambéré-Kadéi</c:v>
                </c:pt>
                <c:pt idx="8">
                  <c:v>Mbomou</c:v>
                </c:pt>
                <c:pt idx="9">
                  <c:v>Nana-Grebizi</c:v>
                </c:pt>
                <c:pt idx="10">
                  <c:v>Nana-Mambere</c:v>
                </c:pt>
                <c:pt idx="11">
                  <c:v>Ombella-Mpoko</c:v>
                </c:pt>
                <c:pt idx="12">
                  <c:v>Ouaka</c:v>
                </c:pt>
                <c:pt idx="13">
                  <c:v>Ouham</c:v>
                </c:pt>
                <c:pt idx="14">
                  <c:v>Ouham-Pendé</c:v>
                </c:pt>
                <c:pt idx="15">
                  <c:v>Sangha-Mbaéré</c:v>
                </c:pt>
                <c:pt idx="16">
                  <c:v>Vakaga</c:v>
                </c:pt>
                <c:pt idx="17">
                  <c:v>National</c:v>
                </c:pt>
              </c:strCache>
            </c:strRef>
          </c:cat>
          <c:val>
            <c:numRef>
              <c:f>Sheet1!$C$183:$C$200</c:f>
              <c:numCache>
                <c:formatCode>General</c:formatCode>
                <c:ptCount val="18"/>
                <c:pt idx="0">
                  <c:v>3.1</c:v>
                </c:pt>
                <c:pt idx="1">
                  <c:v>4.8499999999999996</c:v>
                </c:pt>
                <c:pt idx="2">
                  <c:v>4.21</c:v>
                </c:pt>
                <c:pt idx="3">
                  <c:v>2.27</c:v>
                </c:pt>
                <c:pt idx="4">
                  <c:v>2.58</c:v>
                </c:pt>
                <c:pt idx="5">
                  <c:v>3.9</c:v>
                </c:pt>
                <c:pt idx="6">
                  <c:v>3.23</c:v>
                </c:pt>
                <c:pt idx="7">
                  <c:v>3.27</c:v>
                </c:pt>
                <c:pt idx="8">
                  <c:v>2.87</c:v>
                </c:pt>
                <c:pt idx="9">
                  <c:v>3.32</c:v>
                </c:pt>
                <c:pt idx="10">
                  <c:v>3.73</c:v>
                </c:pt>
                <c:pt idx="11">
                  <c:v>4.3499999999999996</c:v>
                </c:pt>
                <c:pt idx="12">
                  <c:v>3.13</c:v>
                </c:pt>
                <c:pt idx="13">
                  <c:v>2.2400000000000002</c:v>
                </c:pt>
                <c:pt idx="14">
                  <c:v>2.9</c:v>
                </c:pt>
                <c:pt idx="15">
                  <c:v>2.75</c:v>
                </c:pt>
                <c:pt idx="16">
                  <c:v>4.0999999999999996</c:v>
                </c:pt>
                <c:pt idx="17">
                  <c:v>3.47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E-4A52-AE0C-B623995DF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1269760"/>
        <c:axId val="161984832"/>
      </c:barChart>
      <c:catAx>
        <c:axId val="75126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84832"/>
        <c:crosses val="autoZero"/>
        <c:auto val="1"/>
        <c:lblAlgn val="ctr"/>
        <c:lblOffset val="100"/>
        <c:noMultiLvlLbl val="0"/>
      </c:catAx>
      <c:valAx>
        <c:axId val="16198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26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Sheet1!$D$182</c:f>
              <c:strCache>
                <c:ptCount val="1"/>
                <c:pt idx="0">
                  <c:v>Protein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Sheet1!$A$183:$B$200</c:f>
              <c:strCache>
                <c:ptCount val="18"/>
                <c:pt idx="0">
                  <c:v>Bamingui-Bangoran</c:v>
                </c:pt>
                <c:pt idx="1">
                  <c:v>Bangui</c:v>
                </c:pt>
                <c:pt idx="2">
                  <c:v>Basse-Kotto</c:v>
                </c:pt>
                <c:pt idx="3">
                  <c:v>Haute-Kotto</c:v>
                </c:pt>
                <c:pt idx="4">
                  <c:v>Haut-Mbomou</c:v>
                </c:pt>
                <c:pt idx="5">
                  <c:v>Kémo</c:v>
                </c:pt>
                <c:pt idx="6">
                  <c:v>Lobaye</c:v>
                </c:pt>
                <c:pt idx="7">
                  <c:v>Mambéré-Kadéi</c:v>
                </c:pt>
                <c:pt idx="8">
                  <c:v>Mbomou</c:v>
                </c:pt>
                <c:pt idx="9">
                  <c:v>Nana-Grebizi</c:v>
                </c:pt>
                <c:pt idx="10">
                  <c:v>Nana-Mambere</c:v>
                </c:pt>
                <c:pt idx="11">
                  <c:v>Ombella-Mpoko</c:v>
                </c:pt>
                <c:pt idx="12">
                  <c:v>Ouaka</c:v>
                </c:pt>
                <c:pt idx="13">
                  <c:v>Ouham</c:v>
                </c:pt>
                <c:pt idx="14">
                  <c:v>Ouham-Pendé</c:v>
                </c:pt>
                <c:pt idx="15">
                  <c:v>Sangha-Mbaéré</c:v>
                </c:pt>
                <c:pt idx="16">
                  <c:v>Vakaga</c:v>
                </c:pt>
                <c:pt idx="17">
                  <c:v>National</c:v>
                </c:pt>
              </c:strCache>
            </c:strRef>
          </c:cat>
          <c:val>
            <c:numRef>
              <c:f>Sheet1!$D$183:$D$200</c:f>
              <c:numCache>
                <c:formatCode>0%</c:formatCode>
                <c:ptCount val="18"/>
                <c:pt idx="0">
                  <c:v>0.6</c:v>
                </c:pt>
                <c:pt idx="1">
                  <c:v>0.86</c:v>
                </c:pt>
                <c:pt idx="2">
                  <c:v>0.71</c:v>
                </c:pt>
                <c:pt idx="3">
                  <c:v>0.54</c:v>
                </c:pt>
                <c:pt idx="4">
                  <c:v>0.69</c:v>
                </c:pt>
                <c:pt idx="5">
                  <c:v>0.64</c:v>
                </c:pt>
                <c:pt idx="6">
                  <c:v>0.55000000000000004</c:v>
                </c:pt>
                <c:pt idx="7">
                  <c:v>0.6</c:v>
                </c:pt>
                <c:pt idx="8">
                  <c:v>0.56999999999999995</c:v>
                </c:pt>
                <c:pt idx="9">
                  <c:v>0.72</c:v>
                </c:pt>
                <c:pt idx="10">
                  <c:v>0.43</c:v>
                </c:pt>
                <c:pt idx="11">
                  <c:v>0.85</c:v>
                </c:pt>
                <c:pt idx="12">
                  <c:v>0.51</c:v>
                </c:pt>
                <c:pt idx="13">
                  <c:v>0.34</c:v>
                </c:pt>
                <c:pt idx="14">
                  <c:v>0.36</c:v>
                </c:pt>
                <c:pt idx="15">
                  <c:v>0.56999999999999995</c:v>
                </c:pt>
                <c:pt idx="16">
                  <c:v>0.66</c:v>
                </c:pt>
                <c:pt idx="17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B-42D8-8C34-8B763F4BF572}"/>
            </c:ext>
          </c:extLst>
        </c:ser>
        <c:ser>
          <c:idx val="2"/>
          <c:order val="1"/>
          <c:tx>
            <c:strRef>
              <c:f>Sheet1!$E$182</c:f>
              <c:strCache>
                <c:ptCount val="1"/>
                <c:pt idx="0">
                  <c:v>VitA rich food (vegetables &amp; fruits)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Sheet1!$A$183:$B$200</c:f>
              <c:strCache>
                <c:ptCount val="18"/>
                <c:pt idx="0">
                  <c:v>Bamingui-Bangoran</c:v>
                </c:pt>
                <c:pt idx="1">
                  <c:v>Bangui</c:v>
                </c:pt>
                <c:pt idx="2">
                  <c:v>Basse-Kotto</c:v>
                </c:pt>
                <c:pt idx="3">
                  <c:v>Haute-Kotto</c:v>
                </c:pt>
                <c:pt idx="4">
                  <c:v>Haut-Mbomou</c:v>
                </c:pt>
                <c:pt idx="5">
                  <c:v>Kémo</c:v>
                </c:pt>
                <c:pt idx="6">
                  <c:v>Lobaye</c:v>
                </c:pt>
                <c:pt idx="7">
                  <c:v>Mambéré-Kadéi</c:v>
                </c:pt>
                <c:pt idx="8">
                  <c:v>Mbomou</c:v>
                </c:pt>
                <c:pt idx="9">
                  <c:v>Nana-Grebizi</c:v>
                </c:pt>
                <c:pt idx="10">
                  <c:v>Nana-Mambere</c:v>
                </c:pt>
                <c:pt idx="11">
                  <c:v>Ombella-Mpoko</c:v>
                </c:pt>
                <c:pt idx="12">
                  <c:v>Ouaka</c:v>
                </c:pt>
                <c:pt idx="13">
                  <c:v>Ouham</c:v>
                </c:pt>
                <c:pt idx="14">
                  <c:v>Ouham-Pendé</c:v>
                </c:pt>
                <c:pt idx="15">
                  <c:v>Sangha-Mbaéré</c:v>
                </c:pt>
                <c:pt idx="16">
                  <c:v>Vakaga</c:v>
                </c:pt>
                <c:pt idx="17">
                  <c:v>National</c:v>
                </c:pt>
              </c:strCache>
            </c:strRef>
          </c:cat>
          <c:val>
            <c:numRef>
              <c:f>Sheet1!$E$183:$E$200</c:f>
              <c:numCache>
                <c:formatCode>0%</c:formatCode>
                <c:ptCount val="18"/>
                <c:pt idx="0">
                  <c:v>0.81</c:v>
                </c:pt>
                <c:pt idx="1">
                  <c:v>0.8</c:v>
                </c:pt>
                <c:pt idx="2">
                  <c:v>0.66</c:v>
                </c:pt>
                <c:pt idx="3">
                  <c:v>0.37</c:v>
                </c:pt>
                <c:pt idx="4">
                  <c:v>0.45</c:v>
                </c:pt>
                <c:pt idx="5">
                  <c:v>0.63</c:v>
                </c:pt>
                <c:pt idx="6">
                  <c:v>0.74</c:v>
                </c:pt>
                <c:pt idx="7">
                  <c:v>0.62</c:v>
                </c:pt>
                <c:pt idx="8">
                  <c:v>0.47</c:v>
                </c:pt>
                <c:pt idx="9">
                  <c:v>0.9</c:v>
                </c:pt>
                <c:pt idx="10">
                  <c:v>0.91</c:v>
                </c:pt>
                <c:pt idx="11">
                  <c:v>0.74</c:v>
                </c:pt>
                <c:pt idx="12">
                  <c:v>0.73</c:v>
                </c:pt>
                <c:pt idx="13">
                  <c:v>0.64</c:v>
                </c:pt>
                <c:pt idx="14">
                  <c:v>0.64</c:v>
                </c:pt>
                <c:pt idx="15">
                  <c:v>0.56999999999999995</c:v>
                </c:pt>
                <c:pt idx="16">
                  <c:v>0.54</c:v>
                </c:pt>
                <c:pt idx="17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B-42D8-8C34-8B763F4BF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1270688"/>
        <c:axId val="161986272"/>
      </c:barChart>
      <c:catAx>
        <c:axId val="75127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86272"/>
        <c:crosses val="autoZero"/>
        <c:auto val="1"/>
        <c:lblAlgn val="ctr"/>
        <c:lblOffset val="100"/>
        <c:noMultiLvlLbl val="0"/>
      </c:catAx>
      <c:valAx>
        <c:axId val="16198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27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Sheet1!$B$217</c:f>
              <c:strCache>
                <c:ptCount val="1"/>
                <c:pt idx="0">
                  <c:v>HH not adopting coping strategies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Sheet1!$A$218:$A$235</c:f>
              <c:strCache>
                <c:ptCount val="18"/>
                <c:pt idx="0">
                  <c:v>Bamingui-Bangoran</c:v>
                </c:pt>
                <c:pt idx="1">
                  <c:v>Bangui</c:v>
                </c:pt>
                <c:pt idx="2">
                  <c:v>Basse-Kotto</c:v>
                </c:pt>
                <c:pt idx="3">
                  <c:v>Haute-Kotto</c:v>
                </c:pt>
                <c:pt idx="4">
                  <c:v>Haut-Mbomou</c:v>
                </c:pt>
                <c:pt idx="5">
                  <c:v>Kémo</c:v>
                </c:pt>
                <c:pt idx="6">
                  <c:v>Lobaye</c:v>
                </c:pt>
                <c:pt idx="7">
                  <c:v>Mambéré-Kadéi</c:v>
                </c:pt>
                <c:pt idx="8">
                  <c:v>Mbomou</c:v>
                </c:pt>
                <c:pt idx="9">
                  <c:v>Nana-Grebizi</c:v>
                </c:pt>
                <c:pt idx="10">
                  <c:v>Nana-Mambere</c:v>
                </c:pt>
                <c:pt idx="11">
                  <c:v>Ombella-Mpoko</c:v>
                </c:pt>
                <c:pt idx="12">
                  <c:v>Ouaka</c:v>
                </c:pt>
                <c:pt idx="13">
                  <c:v>Ouham</c:v>
                </c:pt>
                <c:pt idx="14">
                  <c:v>Ouham-Pendé</c:v>
                </c:pt>
                <c:pt idx="15">
                  <c:v>Sangha-Mbaéré</c:v>
                </c:pt>
                <c:pt idx="16">
                  <c:v>Vakaga</c:v>
                </c:pt>
                <c:pt idx="17">
                  <c:v>National</c:v>
                </c:pt>
              </c:strCache>
            </c:strRef>
          </c:cat>
          <c:val>
            <c:numRef>
              <c:f>Sheet1!$B$218:$B$235</c:f>
              <c:numCache>
                <c:formatCode>0%</c:formatCode>
                <c:ptCount val="18"/>
                <c:pt idx="0">
                  <c:v>0.113</c:v>
                </c:pt>
                <c:pt idx="1">
                  <c:v>0.443</c:v>
                </c:pt>
                <c:pt idx="2">
                  <c:v>0.41199999999999998</c:v>
                </c:pt>
                <c:pt idx="3">
                  <c:v>0.20499999999999999</c:v>
                </c:pt>
                <c:pt idx="4">
                  <c:v>0.35</c:v>
                </c:pt>
                <c:pt idx="5">
                  <c:v>0.65700000000000003</c:v>
                </c:pt>
                <c:pt idx="6">
                  <c:v>0.50800000000000001</c:v>
                </c:pt>
                <c:pt idx="7">
                  <c:v>0.129</c:v>
                </c:pt>
                <c:pt idx="8">
                  <c:v>0.44400000000000001</c:v>
                </c:pt>
                <c:pt idx="9">
                  <c:v>0.99099999999999999</c:v>
                </c:pt>
                <c:pt idx="10">
                  <c:v>0.14799999999999999</c:v>
                </c:pt>
                <c:pt idx="11">
                  <c:v>0.25</c:v>
                </c:pt>
                <c:pt idx="12">
                  <c:v>0.60899999999999999</c:v>
                </c:pt>
                <c:pt idx="13">
                  <c:v>0.72399999999999998</c:v>
                </c:pt>
                <c:pt idx="14">
                  <c:v>0.54400000000000004</c:v>
                </c:pt>
                <c:pt idx="15">
                  <c:v>0.187</c:v>
                </c:pt>
                <c:pt idx="16">
                  <c:v>0.36899999999999999</c:v>
                </c:pt>
                <c:pt idx="17">
                  <c:v>0.42199999999999999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1-4721-BFC9-E44B57391457}"/>
            </c:ext>
          </c:extLst>
        </c:ser>
        <c:ser>
          <c:idx val="1"/>
          <c:order val="1"/>
          <c:tx>
            <c:strRef>
              <c:f>Sheet1!$C$217</c:f>
              <c:strCache>
                <c:ptCount val="1"/>
                <c:pt idx="0">
                  <c:v>Stress coping strategies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Sheet1!$A$218:$A$235</c:f>
              <c:strCache>
                <c:ptCount val="18"/>
                <c:pt idx="0">
                  <c:v>Bamingui-Bangoran</c:v>
                </c:pt>
                <c:pt idx="1">
                  <c:v>Bangui</c:v>
                </c:pt>
                <c:pt idx="2">
                  <c:v>Basse-Kotto</c:v>
                </c:pt>
                <c:pt idx="3">
                  <c:v>Haute-Kotto</c:v>
                </c:pt>
                <c:pt idx="4">
                  <c:v>Haut-Mbomou</c:v>
                </c:pt>
                <c:pt idx="5">
                  <c:v>Kémo</c:v>
                </c:pt>
                <c:pt idx="6">
                  <c:v>Lobaye</c:v>
                </c:pt>
                <c:pt idx="7">
                  <c:v>Mambéré-Kadéi</c:v>
                </c:pt>
                <c:pt idx="8">
                  <c:v>Mbomou</c:v>
                </c:pt>
                <c:pt idx="9">
                  <c:v>Nana-Grebizi</c:v>
                </c:pt>
                <c:pt idx="10">
                  <c:v>Nana-Mambere</c:v>
                </c:pt>
                <c:pt idx="11">
                  <c:v>Ombella-Mpoko</c:v>
                </c:pt>
                <c:pt idx="12">
                  <c:v>Ouaka</c:v>
                </c:pt>
                <c:pt idx="13">
                  <c:v>Ouham</c:v>
                </c:pt>
                <c:pt idx="14">
                  <c:v>Ouham-Pendé</c:v>
                </c:pt>
                <c:pt idx="15">
                  <c:v>Sangha-Mbaéré</c:v>
                </c:pt>
                <c:pt idx="16">
                  <c:v>Vakaga</c:v>
                </c:pt>
                <c:pt idx="17">
                  <c:v>National</c:v>
                </c:pt>
              </c:strCache>
            </c:strRef>
          </c:cat>
          <c:val>
            <c:numRef>
              <c:f>Sheet1!$C$218:$C$235</c:f>
              <c:numCache>
                <c:formatCode>0%</c:formatCode>
                <c:ptCount val="18"/>
                <c:pt idx="0">
                  <c:v>0.502</c:v>
                </c:pt>
                <c:pt idx="1">
                  <c:v>0.28799999999999998</c:v>
                </c:pt>
                <c:pt idx="2">
                  <c:v>0.32300000000000001</c:v>
                </c:pt>
                <c:pt idx="3">
                  <c:v>0.33800000000000002</c:v>
                </c:pt>
                <c:pt idx="4">
                  <c:v>0.223</c:v>
                </c:pt>
                <c:pt idx="5">
                  <c:v>0.33300000000000002</c:v>
                </c:pt>
                <c:pt idx="6">
                  <c:v>0.39800000000000002</c:v>
                </c:pt>
                <c:pt idx="7">
                  <c:v>0.38100000000000001</c:v>
                </c:pt>
                <c:pt idx="8">
                  <c:v>0.17299999999999999</c:v>
                </c:pt>
                <c:pt idx="9">
                  <c:v>3.0000000000000001E-3</c:v>
                </c:pt>
                <c:pt idx="10">
                  <c:v>0.47</c:v>
                </c:pt>
                <c:pt idx="11">
                  <c:v>0.46300000000000002</c:v>
                </c:pt>
                <c:pt idx="12">
                  <c:v>0.219</c:v>
                </c:pt>
                <c:pt idx="13">
                  <c:v>6.9000000000000006E-2</c:v>
                </c:pt>
                <c:pt idx="14">
                  <c:v>0.16900000000000001</c:v>
                </c:pt>
                <c:pt idx="15">
                  <c:v>0.36799999999999999</c:v>
                </c:pt>
                <c:pt idx="16">
                  <c:v>0.19700000000000001</c:v>
                </c:pt>
                <c:pt idx="17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C1-4721-BFC9-E44B57391457}"/>
            </c:ext>
          </c:extLst>
        </c:ser>
        <c:ser>
          <c:idx val="2"/>
          <c:order val="2"/>
          <c:tx>
            <c:strRef>
              <c:f>Sheet1!$D$217</c:f>
              <c:strCache>
                <c:ptCount val="1"/>
                <c:pt idx="0">
                  <c:v>Crisis coping strategies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Sheet1!$A$218:$A$235</c:f>
              <c:strCache>
                <c:ptCount val="18"/>
                <c:pt idx="0">
                  <c:v>Bamingui-Bangoran</c:v>
                </c:pt>
                <c:pt idx="1">
                  <c:v>Bangui</c:v>
                </c:pt>
                <c:pt idx="2">
                  <c:v>Basse-Kotto</c:v>
                </c:pt>
                <c:pt idx="3">
                  <c:v>Haute-Kotto</c:v>
                </c:pt>
                <c:pt idx="4">
                  <c:v>Haut-Mbomou</c:v>
                </c:pt>
                <c:pt idx="5">
                  <c:v>Kémo</c:v>
                </c:pt>
                <c:pt idx="6">
                  <c:v>Lobaye</c:v>
                </c:pt>
                <c:pt idx="7">
                  <c:v>Mambéré-Kadéi</c:v>
                </c:pt>
                <c:pt idx="8">
                  <c:v>Mbomou</c:v>
                </c:pt>
                <c:pt idx="9">
                  <c:v>Nana-Grebizi</c:v>
                </c:pt>
                <c:pt idx="10">
                  <c:v>Nana-Mambere</c:v>
                </c:pt>
                <c:pt idx="11">
                  <c:v>Ombella-Mpoko</c:v>
                </c:pt>
                <c:pt idx="12">
                  <c:v>Ouaka</c:v>
                </c:pt>
                <c:pt idx="13">
                  <c:v>Ouham</c:v>
                </c:pt>
                <c:pt idx="14">
                  <c:v>Ouham-Pendé</c:v>
                </c:pt>
                <c:pt idx="15">
                  <c:v>Sangha-Mbaéré</c:v>
                </c:pt>
                <c:pt idx="16">
                  <c:v>Vakaga</c:v>
                </c:pt>
                <c:pt idx="17">
                  <c:v>National</c:v>
                </c:pt>
              </c:strCache>
            </c:strRef>
          </c:cat>
          <c:val>
            <c:numRef>
              <c:f>Sheet1!$D$218:$D$235</c:f>
              <c:numCache>
                <c:formatCode>0%</c:formatCode>
                <c:ptCount val="18"/>
                <c:pt idx="0">
                  <c:v>0.38500000000000001</c:v>
                </c:pt>
                <c:pt idx="1">
                  <c:v>0.249</c:v>
                </c:pt>
                <c:pt idx="2">
                  <c:v>0.24</c:v>
                </c:pt>
                <c:pt idx="3">
                  <c:v>0.42299999999999999</c:v>
                </c:pt>
                <c:pt idx="4">
                  <c:v>0.28399999999999997</c:v>
                </c:pt>
                <c:pt idx="5">
                  <c:v>3.0000000000000001E-3</c:v>
                </c:pt>
                <c:pt idx="6">
                  <c:v>6.5000000000000002E-2</c:v>
                </c:pt>
                <c:pt idx="7">
                  <c:v>0.42499999999999999</c:v>
                </c:pt>
                <c:pt idx="8">
                  <c:v>0.36299999999999999</c:v>
                </c:pt>
                <c:pt idx="9">
                  <c:v>6.0000000000000001E-3</c:v>
                </c:pt>
                <c:pt idx="10">
                  <c:v>0.20799999999999999</c:v>
                </c:pt>
                <c:pt idx="11">
                  <c:v>0.19500000000000001</c:v>
                </c:pt>
                <c:pt idx="12">
                  <c:v>0.128</c:v>
                </c:pt>
                <c:pt idx="13">
                  <c:v>0.122</c:v>
                </c:pt>
                <c:pt idx="14">
                  <c:v>0.13900000000000001</c:v>
                </c:pt>
                <c:pt idx="15">
                  <c:v>0.32500000000000001</c:v>
                </c:pt>
                <c:pt idx="16">
                  <c:v>0.379</c:v>
                </c:pt>
                <c:pt idx="17">
                  <c:v>0.221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C1-4721-BFC9-E44B57391457}"/>
            </c:ext>
          </c:extLst>
        </c:ser>
        <c:ser>
          <c:idx val="3"/>
          <c:order val="3"/>
          <c:tx>
            <c:strRef>
              <c:f>Sheet1!$E$217</c:f>
              <c:strCache>
                <c:ptCount val="1"/>
                <c:pt idx="0">
                  <c:v>Emergencies coping strategies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Sheet1!$A$218:$A$235</c:f>
              <c:strCache>
                <c:ptCount val="18"/>
                <c:pt idx="0">
                  <c:v>Bamingui-Bangoran</c:v>
                </c:pt>
                <c:pt idx="1">
                  <c:v>Bangui</c:v>
                </c:pt>
                <c:pt idx="2">
                  <c:v>Basse-Kotto</c:v>
                </c:pt>
                <c:pt idx="3">
                  <c:v>Haute-Kotto</c:v>
                </c:pt>
                <c:pt idx="4">
                  <c:v>Haut-Mbomou</c:v>
                </c:pt>
                <c:pt idx="5">
                  <c:v>Kémo</c:v>
                </c:pt>
                <c:pt idx="6">
                  <c:v>Lobaye</c:v>
                </c:pt>
                <c:pt idx="7">
                  <c:v>Mambéré-Kadéi</c:v>
                </c:pt>
                <c:pt idx="8">
                  <c:v>Mbomou</c:v>
                </c:pt>
                <c:pt idx="9">
                  <c:v>Nana-Grebizi</c:v>
                </c:pt>
                <c:pt idx="10">
                  <c:v>Nana-Mambere</c:v>
                </c:pt>
                <c:pt idx="11">
                  <c:v>Ombella-Mpoko</c:v>
                </c:pt>
                <c:pt idx="12">
                  <c:v>Ouaka</c:v>
                </c:pt>
                <c:pt idx="13">
                  <c:v>Ouham</c:v>
                </c:pt>
                <c:pt idx="14">
                  <c:v>Ouham-Pendé</c:v>
                </c:pt>
                <c:pt idx="15">
                  <c:v>Sangha-Mbaéré</c:v>
                </c:pt>
                <c:pt idx="16">
                  <c:v>Vakaga</c:v>
                </c:pt>
                <c:pt idx="17">
                  <c:v>National</c:v>
                </c:pt>
              </c:strCache>
            </c:strRef>
          </c:cat>
          <c:val>
            <c:numRef>
              <c:f>Sheet1!$E$218:$E$235</c:f>
              <c:numCache>
                <c:formatCode>0%</c:formatCode>
                <c:ptCount val="18"/>
                <c:pt idx="0">
                  <c:v>0</c:v>
                </c:pt>
                <c:pt idx="1">
                  <c:v>1.9E-2</c:v>
                </c:pt>
                <c:pt idx="2">
                  <c:v>2.5000000000000001E-2</c:v>
                </c:pt>
                <c:pt idx="3">
                  <c:v>3.5000000000000003E-2</c:v>
                </c:pt>
                <c:pt idx="4">
                  <c:v>0.14199999999999999</c:v>
                </c:pt>
                <c:pt idx="5">
                  <c:v>6.0000000000000001E-3</c:v>
                </c:pt>
                <c:pt idx="6">
                  <c:v>2.9000000000000001E-2</c:v>
                </c:pt>
                <c:pt idx="7">
                  <c:v>6.5000000000000002E-2</c:v>
                </c:pt>
                <c:pt idx="8">
                  <c:v>0.02</c:v>
                </c:pt>
                <c:pt idx="9">
                  <c:v>0</c:v>
                </c:pt>
                <c:pt idx="10">
                  <c:v>0.17399999999999999</c:v>
                </c:pt>
                <c:pt idx="11">
                  <c:v>9.2999999999999999E-2</c:v>
                </c:pt>
                <c:pt idx="12">
                  <c:v>4.3999999999999997E-2</c:v>
                </c:pt>
                <c:pt idx="13">
                  <c:v>8.5999999999999993E-2</c:v>
                </c:pt>
                <c:pt idx="14">
                  <c:v>0.14799999999999999</c:v>
                </c:pt>
                <c:pt idx="15">
                  <c:v>0.12</c:v>
                </c:pt>
                <c:pt idx="16">
                  <c:v>5.3999999999999999E-2</c:v>
                </c:pt>
                <c:pt idx="17">
                  <c:v>6.7000000000000004E-2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C1-4721-BFC9-E44B573914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595320976"/>
        <c:axId val="297375696"/>
      </c:barChart>
      <c:catAx>
        <c:axId val="59532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7375696"/>
        <c:crosses val="autoZero"/>
        <c:auto val="1"/>
        <c:lblAlgn val="ctr"/>
        <c:lblOffset val="100"/>
        <c:noMultiLvlLbl val="0"/>
      </c:catAx>
      <c:valAx>
        <c:axId val="297375696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9532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914260717410324E-2"/>
          <c:y val="0.17634259259259263"/>
          <c:w val="0.9155301837270341"/>
          <c:h val="0.465677675707203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Sheet1!$D$248</c:f>
              <c:strCache>
                <c:ptCount val="1"/>
                <c:pt idx="0">
                  <c:v>Vegetables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Sheet1!$E$247</c:f>
              <c:strCache>
                <c:ptCount val="1"/>
                <c:pt idx="0">
                  <c:v>Food Groups-FCS</c:v>
                </c:pt>
              </c:strCache>
            </c:strRef>
          </c:cat>
          <c:val>
            <c:numRef>
              <c:f>Sheet1!$E$248</c:f>
              <c:numCache>
                <c:formatCode>0</c:formatCode>
                <c:ptCount val="1"/>
                <c:pt idx="0">
                  <c:v>3.6706669999999999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E-4416-B15C-CADBB101B914}"/>
            </c:ext>
          </c:extLst>
        </c:ser>
        <c:ser>
          <c:idx val="1"/>
          <c:order val="1"/>
          <c:tx>
            <c:strRef>
              <c:f>Sheet1!$D$249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Sheet1!$E$247</c:f>
              <c:strCache>
                <c:ptCount val="1"/>
                <c:pt idx="0">
                  <c:v>Food Groups-FCS</c:v>
                </c:pt>
              </c:strCache>
            </c:strRef>
          </c:cat>
          <c:val>
            <c:numRef>
              <c:f>Sheet1!$E$249</c:f>
              <c:numCache>
                <c:formatCode>0</c:formatCode>
                <c:ptCount val="1"/>
                <c:pt idx="0">
                  <c:v>1.499574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6E-4416-B15C-CADBB101B914}"/>
            </c:ext>
          </c:extLst>
        </c:ser>
        <c:ser>
          <c:idx val="2"/>
          <c:order val="2"/>
          <c:tx>
            <c:strRef>
              <c:f>Sheet1!$D$250</c:f>
              <c:strCache>
                <c:ptCount val="1"/>
                <c:pt idx="0">
                  <c:v>Sugar/Sweets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Sheet1!$E$247</c:f>
              <c:strCache>
                <c:ptCount val="1"/>
                <c:pt idx="0">
                  <c:v>Food Groups-FCS</c:v>
                </c:pt>
              </c:strCache>
            </c:strRef>
          </c:cat>
          <c:val>
            <c:numRef>
              <c:f>Sheet1!$E$250</c:f>
              <c:numCache>
                <c:formatCode>0</c:formatCode>
                <c:ptCount val="1"/>
                <c:pt idx="0">
                  <c:v>3.3953859999999998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6E-4416-B15C-CADBB101B914}"/>
            </c:ext>
          </c:extLst>
        </c:ser>
        <c:ser>
          <c:idx val="3"/>
          <c:order val="3"/>
          <c:tx>
            <c:strRef>
              <c:f>Sheet1!$D$251</c:f>
              <c:strCache>
                <c:ptCount val="1"/>
                <c:pt idx="0">
                  <c:v>Condiments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Sheet1!$E$247</c:f>
              <c:strCache>
                <c:ptCount val="1"/>
                <c:pt idx="0">
                  <c:v>Food Groups-FCS</c:v>
                </c:pt>
              </c:strCache>
            </c:strRef>
          </c:cat>
          <c:val>
            <c:numRef>
              <c:f>Sheet1!$E$251</c:f>
              <c:numCache>
                <c:formatCode>0</c:formatCode>
                <c:ptCount val="1"/>
                <c:pt idx="0">
                  <c:v>6.4017710000000001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6E-4416-B15C-CADBB101B914}"/>
            </c:ext>
          </c:extLst>
        </c:ser>
        <c:ser>
          <c:idx val="4"/>
          <c:order val="4"/>
          <c:tx>
            <c:strRef>
              <c:f>Sheet1!$D$252</c:f>
              <c:strCache>
                <c:ptCount val="1"/>
                <c:pt idx="0">
                  <c:v>Fats/oils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Sheet1!$E$247</c:f>
              <c:strCache>
                <c:ptCount val="1"/>
                <c:pt idx="0">
                  <c:v>Food Groups-FCS</c:v>
                </c:pt>
              </c:strCache>
            </c:strRef>
          </c:cat>
          <c:val>
            <c:numRef>
              <c:f>Sheet1!$E$252</c:f>
              <c:numCache>
                <c:formatCode>0</c:formatCode>
                <c:ptCount val="1"/>
                <c:pt idx="0">
                  <c:v>4.5050220000000003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6E-4416-B15C-CADBB101B914}"/>
            </c:ext>
          </c:extLst>
        </c:ser>
        <c:ser>
          <c:idx val="5"/>
          <c:order val="5"/>
          <c:tx>
            <c:strRef>
              <c:f>Sheet1!$D$253</c:f>
              <c:strCache>
                <c:ptCount val="1"/>
                <c:pt idx="0">
                  <c:v>Proteins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Sheet1!$E$247</c:f>
              <c:strCache>
                <c:ptCount val="1"/>
                <c:pt idx="0">
                  <c:v>Food Groups-FCS</c:v>
                </c:pt>
              </c:strCache>
            </c:strRef>
          </c:cat>
          <c:val>
            <c:numRef>
              <c:f>Sheet1!$E$253</c:f>
              <c:numCache>
                <c:formatCode>0</c:formatCode>
                <c:ptCount val="1"/>
                <c:pt idx="0">
                  <c:v>1.8943650000000001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6E-4416-B15C-CADBB101B914}"/>
            </c:ext>
          </c:extLst>
        </c:ser>
        <c:ser>
          <c:idx val="6"/>
          <c:order val="6"/>
          <c:tx>
            <c:strRef>
              <c:f>Sheet1!$D$254</c:f>
              <c:strCache>
                <c:ptCount val="1"/>
                <c:pt idx="0">
                  <c:v>Dairy/milk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Sheet1!$E$247</c:f>
              <c:strCache>
                <c:ptCount val="1"/>
                <c:pt idx="0">
                  <c:v>Food Groups-FCS</c:v>
                </c:pt>
              </c:strCache>
            </c:strRef>
          </c:cat>
          <c:val>
            <c:numRef>
              <c:f>Sheet1!$E$254</c:f>
              <c:numCache>
                <c:formatCode>0</c:formatCode>
                <c:ptCount val="1"/>
                <c:pt idx="0">
                  <c:v>0.57065030000000005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6E-4416-B15C-CADBB101B914}"/>
            </c:ext>
          </c:extLst>
        </c:ser>
        <c:ser>
          <c:idx val="7"/>
          <c:order val="7"/>
          <c:tx>
            <c:strRef>
              <c:f>Sheet1!$D$255</c:f>
              <c:strCache>
                <c:ptCount val="1"/>
                <c:pt idx="0">
                  <c:v>Pulses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Sheet1!$E$247</c:f>
              <c:strCache>
                <c:ptCount val="1"/>
                <c:pt idx="0">
                  <c:v>Food Groups-FCS</c:v>
                </c:pt>
              </c:strCache>
            </c:strRef>
          </c:cat>
          <c:val>
            <c:numRef>
              <c:f>Sheet1!$E$255</c:f>
              <c:numCache>
                <c:formatCode>0</c:formatCode>
                <c:ptCount val="1"/>
                <c:pt idx="0">
                  <c:v>2.6025710000000002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6E-4416-B15C-CADBB101B914}"/>
            </c:ext>
          </c:extLst>
        </c:ser>
        <c:ser>
          <c:idx val="8"/>
          <c:order val="8"/>
          <c:tx>
            <c:strRef>
              <c:f>Sheet1!$D$256</c:f>
              <c:strCache>
                <c:ptCount val="1"/>
                <c:pt idx="0">
                  <c:v>Cereals/roots and tubers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Sheet1!$E$247</c:f>
              <c:strCache>
                <c:ptCount val="1"/>
                <c:pt idx="0">
                  <c:v>Food Groups-FCS</c:v>
                </c:pt>
              </c:strCache>
            </c:strRef>
          </c:cat>
          <c:val>
            <c:numRef>
              <c:f>Sheet1!$E$256</c:f>
              <c:numCache>
                <c:formatCode>0</c:formatCode>
                <c:ptCount val="1"/>
                <c:pt idx="0">
                  <c:v>2.1660710000000001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86E-4416-B15C-CADBB101B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12127"/>
        <c:axId val="603514688"/>
      </c:barChart>
      <c:catAx>
        <c:axId val="9811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14688"/>
        <c:crosses val="autoZero"/>
        <c:auto val="1"/>
        <c:lblAlgn val="ctr"/>
        <c:lblOffset val="100"/>
        <c:noMultiLvlLbl val="0"/>
      </c:catAx>
      <c:valAx>
        <c:axId val="603514688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113393</xdr:colOff>
      <xdr:row>8</xdr:row>
      <xdr:rowOff>25399</xdr:rowOff>
    </xdr:from>
    <xdr:to>
      <xdr:col>17</xdr:col>
      <xdr:colOff>453571</xdr:colOff>
      <xdr:row>26</xdr:row>
      <xdr:rowOff>136070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F1DBF7-92CD-30DE-A949-DDA95E497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4536</xdr:colOff>
      <xdr:row>28</xdr:row>
      <xdr:rowOff>145143</xdr:rowOff>
    </xdr:from>
    <xdr:to>
      <xdr:col>15</xdr:col>
      <xdr:colOff>498929</xdr:colOff>
      <xdr:row>50</xdr:row>
      <xdr:rowOff>81643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D94A3A-DF0A-3FC2-6E10-BAF4C58B1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429371</xdr:colOff>
      <xdr:row>51</xdr:row>
      <xdr:rowOff>122144</xdr:rowOff>
    </xdr:from>
    <xdr:to>
      <xdr:col>17</xdr:col>
      <xdr:colOff>337297</xdr:colOff>
      <xdr:row>73</xdr:row>
      <xdr:rowOff>258108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F03449-EFBA-E964-4556-30DE48FEF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164352</xdr:colOff>
      <xdr:row>77</xdr:row>
      <xdr:rowOff>22410</xdr:rowOff>
    </xdr:from>
    <xdr:to>
      <xdr:col>15</xdr:col>
      <xdr:colOff>537881</xdr:colOff>
      <xdr:row>109</xdr:row>
      <xdr:rowOff>164352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8EB4DD-AB59-C893-344F-4B884F742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470647</xdr:colOff>
      <xdr:row>73</xdr:row>
      <xdr:rowOff>231587</xdr:rowOff>
    </xdr:from>
    <xdr:to>
      <xdr:col>7</xdr:col>
      <xdr:colOff>406213</xdr:colOff>
      <xdr:row>93</xdr:row>
      <xdr:rowOff>126999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2E8E3AA-D9B6-4F82-B948-061330BFB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224118</xdr:colOff>
      <xdr:row>110</xdr:row>
      <xdr:rowOff>21664</xdr:rowOff>
    </xdr:from>
    <xdr:to>
      <xdr:col>10</xdr:col>
      <xdr:colOff>254000</xdr:colOff>
      <xdr:row>124</xdr:row>
      <xdr:rowOff>150159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127C79B-7138-B0B2-2FAF-D66E20630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440766</xdr:colOff>
      <xdr:row>113</xdr:row>
      <xdr:rowOff>126252</xdr:rowOff>
    </xdr:from>
    <xdr:to>
      <xdr:col>19</xdr:col>
      <xdr:colOff>179295</xdr:colOff>
      <xdr:row>132</xdr:row>
      <xdr:rowOff>44823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F13B3AD-419F-7000-B1EF-14A7DDC63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567765</xdr:colOff>
      <xdr:row>136</xdr:row>
      <xdr:rowOff>7469</xdr:rowOff>
    </xdr:from>
    <xdr:to>
      <xdr:col>22</xdr:col>
      <xdr:colOff>89647</xdr:colOff>
      <xdr:row>160</xdr:row>
      <xdr:rowOff>149409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D1AA41E-D134-2D5D-FBDC-B712CCA2B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508000</xdr:colOff>
      <xdr:row>162</xdr:row>
      <xdr:rowOff>179294</xdr:rowOff>
    </xdr:from>
    <xdr:to>
      <xdr:col>18</xdr:col>
      <xdr:colOff>530409</xdr:colOff>
      <xdr:row>180</xdr:row>
      <xdr:rowOff>30630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0087D77-A892-7F3B-750B-58E2BB0E6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530412</xdr:colOff>
      <xdr:row>178</xdr:row>
      <xdr:rowOff>171076</xdr:rowOff>
    </xdr:from>
    <xdr:to>
      <xdr:col>17</xdr:col>
      <xdr:colOff>201706</xdr:colOff>
      <xdr:row>193</xdr:row>
      <xdr:rowOff>97865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919FFFF-CB71-2ECC-6F7C-2C74BD07A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440765</xdr:colOff>
      <xdr:row>183</xdr:row>
      <xdr:rowOff>164352</xdr:rowOff>
    </xdr:from>
    <xdr:to>
      <xdr:col>18</xdr:col>
      <xdr:colOff>530411</xdr:colOff>
      <xdr:row>212</xdr:row>
      <xdr:rowOff>164351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6D2E7F4-7AA1-2274-9594-8073C0FC4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224117</xdr:colOff>
      <xdr:row>222</xdr:row>
      <xdr:rowOff>179293</xdr:rowOff>
    </xdr:from>
    <xdr:to>
      <xdr:col>15</xdr:col>
      <xdr:colOff>455705</xdr:colOff>
      <xdr:row>246</xdr:row>
      <xdr:rowOff>149411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475ECE2-0C51-5472-9A9F-9FC272792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366059</xdr:colOff>
      <xdr:row>245</xdr:row>
      <xdr:rowOff>133724</xdr:rowOff>
    </xdr:from>
    <xdr:to>
      <xdr:col>16</xdr:col>
      <xdr:colOff>37353</xdr:colOff>
      <xdr:row>260</xdr:row>
      <xdr:rowOff>75454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EE5488F-BF47-67AF-F958-CF035054B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E9BF-8174-45C6-B0E4-CC2CC3554B9B}">
  <dimension ref="A1:L256"/>
  <sheetViews>
    <sheetView tabSelected="1" topLeftCell="F1" zoomScale="85" zoomScaleNormal="85" workbookViewId="0">
      <selection activeCell="C2" sqref="C2:C10"/>
    </sheetView>
  </sheetViews>
  <sheetFormatPr defaultRowHeight="14.5" x14ac:dyDescent="0.35"/>
  <cols>
    <col min="1" max="1" width="33.6328125" bestFit="1" customWidth="1"/>
    <col min="2" max="2" width="26.1796875" bestFit="1" customWidth="1"/>
    <col min="3" max="3" width="8.54296875" customWidth="1"/>
    <col min="4" max="4" width="9.453125" customWidth="1"/>
    <col min="5" max="5" width="7.6328125" customWidth="1"/>
    <col min="8" max="8" width="10.6328125" customWidth="1"/>
  </cols>
  <sheetData>
    <row r="1" spans="1:5" x14ac:dyDescent="0.35">
      <c r="B1" t="s">
        <v>11</v>
      </c>
      <c r="C1" t="s">
        <v>0</v>
      </c>
      <c r="D1" t="s">
        <v>13</v>
      </c>
      <c r="E1" t="s">
        <v>14</v>
      </c>
    </row>
    <row r="2" spans="1:5" x14ac:dyDescent="0.35">
      <c r="B2">
        <v>850</v>
      </c>
      <c r="C2" s="13" t="s">
        <v>12</v>
      </c>
      <c r="D2" s="13">
        <f>+-1*9.82</f>
        <v>-9.82</v>
      </c>
      <c r="E2" s="13">
        <v>9.92</v>
      </c>
    </row>
    <row r="3" spans="1:5" x14ac:dyDescent="0.35">
      <c r="A3">
        <f>+D3*-1</f>
        <v>10.86</v>
      </c>
      <c r="B3" s="1">
        <v>1154</v>
      </c>
      <c r="C3" s="13" t="s">
        <v>112</v>
      </c>
      <c r="D3" s="13">
        <f>-1*10.86</f>
        <v>-10.86</v>
      </c>
      <c r="E3" s="13">
        <v>13.46</v>
      </c>
    </row>
    <row r="4" spans="1:5" x14ac:dyDescent="0.35">
      <c r="A4">
        <f t="shared" ref="A4:A10" si="0">+D4*-1</f>
        <v>12.09</v>
      </c>
      <c r="B4" s="1">
        <v>1214</v>
      </c>
      <c r="C4" s="13" t="s">
        <v>113</v>
      </c>
      <c r="D4" s="13">
        <f>-1*12.09</f>
        <v>-12.09</v>
      </c>
      <c r="E4" s="13">
        <v>14.16</v>
      </c>
    </row>
    <row r="5" spans="1:5" x14ac:dyDescent="0.35">
      <c r="A5">
        <f t="shared" si="0"/>
        <v>13.73</v>
      </c>
      <c r="B5" s="1">
        <v>1415</v>
      </c>
      <c r="C5" s="13" t="s">
        <v>114</v>
      </c>
      <c r="D5" s="13">
        <f>-1*13.73</f>
        <v>-13.73</v>
      </c>
      <c r="E5" s="13">
        <v>16.510000000000002</v>
      </c>
    </row>
    <row r="6" spans="1:5" x14ac:dyDescent="0.35">
      <c r="A6">
        <f t="shared" si="0"/>
        <v>11.34</v>
      </c>
      <c r="B6" s="1">
        <v>1279</v>
      </c>
      <c r="C6" s="13" t="s">
        <v>115</v>
      </c>
      <c r="D6" s="13">
        <f>-1*11.34</f>
        <v>-11.34</v>
      </c>
      <c r="E6" s="13">
        <v>14.92</v>
      </c>
    </row>
    <row r="7" spans="1:5" x14ac:dyDescent="0.35">
      <c r="A7">
        <f t="shared" si="0"/>
        <v>11.24</v>
      </c>
      <c r="B7">
        <v>912</v>
      </c>
      <c r="C7" s="13" t="s">
        <v>116</v>
      </c>
      <c r="D7" s="13">
        <f>-1*11.24</f>
        <v>-11.24</v>
      </c>
      <c r="E7" s="13">
        <v>10.64</v>
      </c>
    </row>
    <row r="8" spans="1:5" x14ac:dyDescent="0.35">
      <c r="A8">
        <f t="shared" si="0"/>
        <v>8.31</v>
      </c>
      <c r="B8">
        <v>674</v>
      </c>
      <c r="C8" s="13" t="s">
        <v>117</v>
      </c>
      <c r="D8" s="13">
        <f>-1*8.31</f>
        <v>-8.31</v>
      </c>
      <c r="E8" s="13">
        <v>7.86</v>
      </c>
    </row>
    <row r="9" spans="1:5" x14ac:dyDescent="0.35">
      <c r="A9">
        <f t="shared" si="0"/>
        <v>8.2799999999999994</v>
      </c>
      <c r="B9">
        <v>427</v>
      </c>
      <c r="C9" s="13" t="s">
        <v>118</v>
      </c>
      <c r="D9" s="13">
        <f>-1*8.28</f>
        <v>-8.2799999999999994</v>
      </c>
      <c r="E9" s="13">
        <v>4.9800000000000004</v>
      </c>
    </row>
    <row r="10" spans="1:5" x14ac:dyDescent="0.35">
      <c r="A10">
        <f t="shared" si="0"/>
        <v>14.33</v>
      </c>
      <c r="B10">
        <v>647</v>
      </c>
      <c r="C10" s="13" t="s">
        <v>10</v>
      </c>
      <c r="D10" s="13">
        <f>-1*14.33</f>
        <v>-14.33</v>
      </c>
      <c r="E10" s="13">
        <v>7.55</v>
      </c>
    </row>
    <row r="17" spans="5:9" x14ac:dyDescent="0.35">
      <c r="E17" t="s">
        <v>15</v>
      </c>
      <c r="F17" t="s">
        <v>2</v>
      </c>
      <c r="G17" t="s">
        <v>3</v>
      </c>
      <c r="I17">
        <v>9.82</v>
      </c>
    </row>
    <row r="18" spans="5:9" x14ac:dyDescent="0.35">
      <c r="I18">
        <v>20.69</v>
      </c>
    </row>
    <row r="19" spans="5:9" x14ac:dyDescent="0.35">
      <c r="E19" t="s">
        <v>12</v>
      </c>
      <c r="F19">
        <v>850</v>
      </c>
      <c r="G19">
        <v>9.92</v>
      </c>
      <c r="H19">
        <v>9.92</v>
      </c>
      <c r="I19">
        <v>32.78</v>
      </c>
    </row>
    <row r="20" spans="5:9" x14ac:dyDescent="0.35">
      <c r="E20" t="s">
        <v>5</v>
      </c>
      <c r="F20" s="1">
        <v>1154</v>
      </c>
      <c r="G20">
        <v>13.46</v>
      </c>
      <c r="H20">
        <v>23.38</v>
      </c>
      <c r="I20">
        <v>46.51</v>
      </c>
    </row>
    <row r="21" spans="5:9" x14ac:dyDescent="0.35">
      <c r="E21" t="s">
        <v>6</v>
      </c>
      <c r="F21" s="1">
        <v>1214</v>
      </c>
      <c r="G21">
        <v>14.16</v>
      </c>
      <c r="H21">
        <v>37.54</v>
      </c>
      <c r="I21">
        <v>57.84</v>
      </c>
    </row>
    <row r="22" spans="5:9" x14ac:dyDescent="0.35">
      <c r="E22" t="s">
        <v>7</v>
      </c>
      <c r="F22" s="1">
        <v>1415</v>
      </c>
      <c r="G22">
        <v>16.510000000000002</v>
      </c>
      <c r="H22">
        <v>54.05</v>
      </c>
      <c r="I22">
        <v>69.08</v>
      </c>
    </row>
    <row r="23" spans="5:9" x14ac:dyDescent="0.35">
      <c r="E23" t="s">
        <v>4</v>
      </c>
      <c r="F23" s="1">
        <v>1279</v>
      </c>
      <c r="G23">
        <v>14.92</v>
      </c>
      <c r="H23">
        <v>68.97</v>
      </c>
      <c r="I23">
        <v>77.39</v>
      </c>
    </row>
    <row r="24" spans="5:9" x14ac:dyDescent="0.35">
      <c r="E24" t="s">
        <v>16</v>
      </c>
      <c r="F24">
        <v>912</v>
      </c>
      <c r="G24">
        <v>10.64</v>
      </c>
      <c r="H24">
        <v>79.61</v>
      </c>
      <c r="I24">
        <v>85.67</v>
      </c>
    </row>
    <row r="25" spans="5:9" x14ac:dyDescent="0.35">
      <c r="E25" t="s">
        <v>9</v>
      </c>
      <c r="F25">
        <v>674</v>
      </c>
      <c r="G25">
        <v>7.86</v>
      </c>
      <c r="H25">
        <v>87.47</v>
      </c>
      <c r="I25">
        <v>100</v>
      </c>
    </row>
    <row r="26" spans="5:9" x14ac:dyDescent="0.35">
      <c r="E26" t="s">
        <v>8</v>
      </c>
      <c r="F26">
        <v>427</v>
      </c>
      <c r="G26">
        <v>4.9800000000000004</v>
      </c>
      <c r="H26">
        <v>92.45</v>
      </c>
    </row>
    <row r="27" spans="5:9" x14ac:dyDescent="0.35">
      <c r="E27" t="s">
        <v>10</v>
      </c>
      <c r="F27">
        <v>647</v>
      </c>
      <c r="G27">
        <v>7.55</v>
      </c>
      <c r="H27">
        <v>100</v>
      </c>
    </row>
    <row r="34" spans="1:11" x14ac:dyDescent="0.35">
      <c r="B34" t="s">
        <v>50</v>
      </c>
      <c r="C34" t="s">
        <v>24</v>
      </c>
      <c r="D34" t="s">
        <v>25</v>
      </c>
    </row>
    <row r="35" spans="1:11" x14ac:dyDescent="0.35">
      <c r="A35" t="s">
        <v>27</v>
      </c>
      <c r="B35" s="11">
        <v>0.24429999999999999</v>
      </c>
      <c r="C35" s="11">
        <v>0.36899999999999999</v>
      </c>
      <c r="D35" s="11">
        <v>0.1981</v>
      </c>
      <c r="H35" t="s">
        <v>17</v>
      </c>
      <c r="I35" s="1">
        <v>1698</v>
      </c>
      <c r="K35">
        <v>19.809999999999999</v>
      </c>
    </row>
    <row r="36" spans="1:11" x14ac:dyDescent="0.35">
      <c r="A36" t="s">
        <v>28</v>
      </c>
      <c r="B36" s="11">
        <v>2.92E-2</v>
      </c>
      <c r="C36" s="11">
        <v>3.2399999999999998E-2</v>
      </c>
      <c r="D36" s="11">
        <v>2.8000000000000001E-2</v>
      </c>
      <c r="G36" s="1"/>
      <c r="H36" t="s">
        <v>18</v>
      </c>
      <c r="I36">
        <v>240</v>
      </c>
      <c r="K36">
        <v>22.61</v>
      </c>
    </row>
    <row r="37" spans="1:11" x14ac:dyDescent="0.35">
      <c r="A37" t="s">
        <v>29</v>
      </c>
      <c r="B37" s="11">
        <v>0.48620000000000002</v>
      </c>
      <c r="C37" s="11">
        <v>0.4118</v>
      </c>
      <c r="D37" s="11">
        <v>0.51380000000000003</v>
      </c>
      <c r="H37" t="s">
        <v>19</v>
      </c>
      <c r="I37" s="1">
        <v>4404</v>
      </c>
      <c r="K37">
        <v>73.989999999999995</v>
      </c>
    </row>
    <row r="38" spans="1:11" x14ac:dyDescent="0.35">
      <c r="A38" t="s">
        <v>30</v>
      </c>
      <c r="B38" s="11">
        <v>0.19750000000000001</v>
      </c>
      <c r="C38" s="11">
        <v>0.153</v>
      </c>
      <c r="D38" s="11">
        <v>0.214</v>
      </c>
      <c r="G38" s="1"/>
      <c r="H38" t="s">
        <v>20</v>
      </c>
      <c r="I38" s="1">
        <v>1834</v>
      </c>
      <c r="K38">
        <v>95.38</v>
      </c>
    </row>
    <row r="39" spans="1:11" x14ac:dyDescent="0.35">
      <c r="A39" t="s">
        <v>31</v>
      </c>
      <c r="B39" s="11">
        <v>3.4599999999999999E-2</v>
      </c>
      <c r="C39" s="11">
        <v>2.64E-2</v>
      </c>
      <c r="D39" s="11">
        <v>3.7699999999999997E-2</v>
      </c>
      <c r="H39" t="s">
        <v>21</v>
      </c>
      <c r="I39">
        <v>323</v>
      </c>
      <c r="K39">
        <v>99.15</v>
      </c>
    </row>
    <row r="40" spans="1:11" x14ac:dyDescent="0.35">
      <c r="A40" t="s">
        <v>32</v>
      </c>
      <c r="B40" s="11">
        <v>8.2000000000000007E-3</v>
      </c>
      <c r="C40" s="11">
        <v>7.1999999999999998E-3</v>
      </c>
      <c r="D40" s="11">
        <v>8.5000000000000006E-3</v>
      </c>
      <c r="G40" t="s">
        <v>22</v>
      </c>
      <c r="H40" t="s">
        <v>23</v>
      </c>
      <c r="I40">
        <v>73</v>
      </c>
      <c r="K40">
        <v>100</v>
      </c>
    </row>
    <row r="54" spans="1:6" ht="15" thickBot="1" x14ac:dyDescent="0.4"/>
    <row r="55" spans="1:6" ht="25" thickTop="1" thickBot="1" x14ac:dyDescent="0.4">
      <c r="A55" s="2"/>
      <c r="B55" s="3" t="s">
        <v>56</v>
      </c>
      <c r="C55" t="s">
        <v>51</v>
      </c>
      <c r="D55" t="s">
        <v>54</v>
      </c>
      <c r="E55" t="s">
        <v>52</v>
      </c>
      <c r="F55" t="s">
        <v>53</v>
      </c>
    </row>
    <row r="56" spans="1:6" ht="15" thickTop="1" x14ac:dyDescent="0.35">
      <c r="A56" s="4" t="s">
        <v>33</v>
      </c>
      <c r="B56" s="5">
        <v>213</v>
      </c>
      <c r="C56" s="11">
        <v>7.9799999999999996E-2</v>
      </c>
      <c r="D56" s="11">
        <v>0.44130000000000003</v>
      </c>
      <c r="E56" s="11">
        <v>0.46479999999999999</v>
      </c>
      <c r="F56" s="11">
        <v>1.41E-2</v>
      </c>
    </row>
    <row r="57" spans="1:6" x14ac:dyDescent="0.35">
      <c r="A57" s="6" t="s">
        <v>34</v>
      </c>
      <c r="B57" s="7">
        <v>1644</v>
      </c>
      <c r="C57" s="11">
        <v>0.47870000000000001</v>
      </c>
      <c r="D57" s="11">
        <v>0.45800000000000002</v>
      </c>
      <c r="E57" s="11">
        <v>6.08E-2</v>
      </c>
      <c r="F57" s="11">
        <v>2.3999999999999998E-3</v>
      </c>
    </row>
    <row r="58" spans="1:6" x14ac:dyDescent="0.35">
      <c r="A58" s="6" t="s">
        <v>35</v>
      </c>
      <c r="B58" s="7">
        <v>730</v>
      </c>
      <c r="C58" s="11">
        <v>0.30120000000000002</v>
      </c>
      <c r="D58" s="11">
        <v>0.48359999999999997</v>
      </c>
      <c r="E58" s="11">
        <v>0.19589999999999999</v>
      </c>
      <c r="F58" s="11">
        <v>1.9199999999999998E-2</v>
      </c>
    </row>
    <row r="59" spans="1:6" x14ac:dyDescent="0.35">
      <c r="A59" s="6" t="s">
        <v>36</v>
      </c>
      <c r="B59" s="7">
        <v>376</v>
      </c>
      <c r="C59" s="11">
        <v>0.109</v>
      </c>
      <c r="D59" s="11">
        <v>0.35899999999999999</v>
      </c>
      <c r="E59" s="11">
        <v>0.48399999999999999</v>
      </c>
      <c r="F59" s="11">
        <v>4.7899999999999998E-2</v>
      </c>
    </row>
    <row r="60" spans="1:6" x14ac:dyDescent="0.35">
      <c r="A60" s="6" t="s">
        <v>37</v>
      </c>
      <c r="B60" s="7">
        <v>408</v>
      </c>
      <c r="C60" s="11">
        <v>4.1700000000000001E-2</v>
      </c>
      <c r="D60" s="11">
        <v>0.29170000000000001</v>
      </c>
      <c r="E60" s="11">
        <v>0.59309999999999996</v>
      </c>
      <c r="F60" s="11">
        <v>7.3499999999999996E-2</v>
      </c>
    </row>
    <row r="61" spans="1:6" x14ac:dyDescent="0.35">
      <c r="A61" s="6" t="s">
        <v>38</v>
      </c>
      <c r="B61" s="7">
        <v>315</v>
      </c>
      <c r="C61" s="11">
        <v>0.2127</v>
      </c>
      <c r="D61" s="11">
        <v>0.52059999999999995</v>
      </c>
      <c r="E61" s="11">
        <v>0.26669999999999999</v>
      </c>
      <c r="F61" s="11"/>
    </row>
    <row r="62" spans="1:6" x14ac:dyDescent="0.35">
      <c r="A62" s="6" t="s">
        <v>39</v>
      </c>
      <c r="B62" s="7">
        <v>825</v>
      </c>
      <c r="C62" s="11">
        <v>0.10299999999999999</v>
      </c>
      <c r="D62" s="11">
        <v>0.36359999999999998</v>
      </c>
      <c r="E62" s="11">
        <v>0.49819999999999998</v>
      </c>
      <c r="F62" s="11">
        <v>3.5200000000000002E-2</v>
      </c>
    </row>
    <row r="63" spans="1:6" x14ac:dyDescent="0.35">
      <c r="A63" s="6" t="s">
        <v>40</v>
      </c>
      <c r="B63" s="7">
        <v>1057</v>
      </c>
      <c r="C63" s="11">
        <v>5.96E-2</v>
      </c>
      <c r="D63" s="11">
        <v>0.41909999999999997</v>
      </c>
      <c r="E63" s="11">
        <v>0.40210000000000001</v>
      </c>
      <c r="F63" s="11">
        <v>0.1192</v>
      </c>
    </row>
    <row r="64" spans="1:6" x14ac:dyDescent="0.35">
      <c r="A64" s="6" t="s">
        <v>41</v>
      </c>
      <c r="B64" s="7">
        <v>595</v>
      </c>
      <c r="C64" s="11">
        <v>8.9099999999999999E-2</v>
      </c>
      <c r="D64" s="11">
        <v>0.49080000000000001</v>
      </c>
      <c r="E64" s="11">
        <v>0.39660000000000001</v>
      </c>
      <c r="F64" s="11">
        <v>2.35E-2</v>
      </c>
    </row>
    <row r="65" spans="1:7" x14ac:dyDescent="0.35">
      <c r="A65" s="6" t="s">
        <v>42</v>
      </c>
      <c r="B65" s="7">
        <v>330</v>
      </c>
      <c r="C65" s="11">
        <v>0.19389999999999999</v>
      </c>
      <c r="D65" s="11">
        <v>0.56669999999999998</v>
      </c>
      <c r="E65" s="11">
        <v>0.2394</v>
      </c>
      <c r="F65" s="11"/>
    </row>
    <row r="66" spans="1:7" x14ac:dyDescent="0.35">
      <c r="A66" s="6" t="s">
        <v>43</v>
      </c>
      <c r="B66" s="7">
        <v>644</v>
      </c>
      <c r="C66" s="11">
        <v>0.1273</v>
      </c>
      <c r="D66" s="11">
        <v>0.4829</v>
      </c>
      <c r="E66" s="11">
        <v>0.33389999999999997</v>
      </c>
      <c r="F66" s="11">
        <v>5.5899999999999998E-2</v>
      </c>
    </row>
    <row r="67" spans="1:7" x14ac:dyDescent="0.35">
      <c r="A67" s="6" t="s">
        <v>44</v>
      </c>
      <c r="B67" s="7">
        <v>1089</v>
      </c>
      <c r="C67" s="11">
        <v>0.28370000000000001</v>
      </c>
      <c r="D67" s="11">
        <v>0.63539999999999996</v>
      </c>
      <c r="E67" s="11">
        <v>7.6200000000000004E-2</v>
      </c>
      <c r="F67" s="11">
        <v>4.5999999999999999E-2</v>
      </c>
    </row>
    <row r="68" spans="1:7" x14ac:dyDescent="0.35">
      <c r="A68" s="6" t="s">
        <v>45</v>
      </c>
      <c r="B68" s="7">
        <v>775</v>
      </c>
      <c r="C68" s="11">
        <v>0.1923</v>
      </c>
      <c r="D68" s="11">
        <v>0.49159999999999998</v>
      </c>
      <c r="E68" s="11">
        <v>0.30969999999999998</v>
      </c>
      <c r="F68" s="11">
        <v>6.5000000000000002E-2</v>
      </c>
    </row>
    <row r="69" spans="1:7" x14ac:dyDescent="0.35">
      <c r="A69" s="6" t="s">
        <v>46</v>
      </c>
      <c r="B69" s="7">
        <v>1004</v>
      </c>
      <c r="C69" s="11">
        <v>0.1096</v>
      </c>
      <c r="D69" s="11">
        <v>0.36249999999999999</v>
      </c>
      <c r="E69" s="11">
        <v>0.51890000000000003</v>
      </c>
      <c r="F69" s="11">
        <v>8.9999999999999993E-3</v>
      </c>
    </row>
    <row r="70" spans="1:7" x14ac:dyDescent="0.35">
      <c r="A70" s="6" t="s">
        <v>47</v>
      </c>
      <c r="B70" s="7">
        <v>1122</v>
      </c>
      <c r="C70" s="11">
        <v>0.2014</v>
      </c>
      <c r="D70" s="11">
        <v>0.43940000000000001</v>
      </c>
      <c r="E70" s="11">
        <v>0.34849999999999998</v>
      </c>
      <c r="F70" s="11">
        <v>1.0699999999999999E-2</v>
      </c>
    </row>
    <row r="71" spans="1:7" x14ac:dyDescent="0.35">
      <c r="A71" s="6" t="s">
        <v>48</v>
      </c>
      <c r="B71" s="7">
        <v>418</v>
      </c>
      <c r="C71" s="11">
        <v>0.11</v>
      </c>
      <c r="D71" s="11">
        <v>0.40670000000000001</v>
      </c>
      <c r="E71" s="11">
        <v>0.35649999999999998</v>
      </c>
      <c r="F71" s="11">
        <v>0.1268</v>
      </c>
    </row>
    <row r="72" spans="1:7" x14ac:dyDescent="0.35">
      <c r="A72" s="6" t="s">
        <v>49</v>
      </c>
      <c r="B72" s="7">
        <v>203</v>
      </c>
      <c r="C72" s="11">
        <v>0.20200000000000001</v>
      </c>
      <c r="D72" s="11">
        <v>0.64529999999999998</v>
      </c>
      <c r="E72" s="11">
        <v>0.13789999999999999</v>
      </c>
      <c r="F72" s="11">
        <v>1.4800000000000001E-2</v>
      </c>
    </row>
    <row r="73" spans="1:7" ht="15" thickBot="1" x14ac:dyDescent="0.4">
      <c r="A73" s="8" t="s">
        <v>26</v>
      </c>
      <c r="B73" s="9">
        <v>11748</v>
      </c>
      <c r="C73" s="11">
        <v>0.20230000000000001</v>
      </c>
      <c r="D73" s="11">
        <v>0.45810000000000001</v>
      </c>
      <c r="E73" s="11">
        <v>0.30880000000000002</v>
      </c>
      <c r="F73" s="11">
        <v>3.0700000000000002E-2</v>
      </c>
    </row>
    <row r="74" spans="1:7" ht="25.5" customHeight="1" thickTop="1" x14ac:dyDescent="0.35">
      <c r="C74" s="19"/>
      <c r="D74" s="19"/>
      <c r="E74" s="19"/>
      <c r="F74" s="19"/>
      <c r="G74" s="19"/>
    </row>
    <row r="75" spans="1:7" x14ac:dyDescent="0.35">
      <c r="A75" s="16"/>
      <c r="B75" s="16"/>
    </row>
    <row r="76" spans="1:7" x14ac:dyDescent="0.35">
      <c r="A76" s="14" t="s">
        <v>25</v>
      </c>
    </row>
    <row r="77" spans="1:7" x14ac:dyDescent="0.35">
      <c r="A77" s="14" t="s">
        <v>24</v>
      </c>
      <c r="B77" s="17">
        <v>3896</v>
      </c>
    </row>
    <row r="78" spans="1:7" x14ac:dyDescent="0.35">
      <c r="B78" s="17">
        <v>2581</v>
      </c>
    </row>
    <row r="79" spans="1:7" x14ac:dyDescent="0.35">
      <c r="B79" s="15">
        <v>252</v>
      </c>
    </row>
    <row r="90" spans="1:9" x14ac:dyDescent="0.35">
      <c r="I90" s="1"/>
    </row>
    <row r="91" spans="1:9" x14ac:dyDescent="0.35">
      <c r="I91" s="1"/>
    </row>
    <row r="93" spans="1:9" x14ac:dyDescent="0.35">
      <c r="A93" t="s">
        <v>62</v>
      </c>
      <c r="B93" t="s">
        <v>1</v>
      </c>
      <c r="C93" t="s">
        <v>2</v>
      </c>
    </row>
    <row r="94" spans="1:9" x14ac:dyDescent="0.35">
      <c r="A94" t="s">
        <v>57</v>
      </c>
      <c r="B94" s="1">
        <v>6799</v>
      </c>
      <c r="C94" s="11">
        <v>0.49740000000000001</v>
      </c>
    </row>
    <row r="95" spans="1:9" x14ac:dyDescent="0.35">
      <c r="A95" t="s">
        <v>58</v>
      </c>
      <c r="B95" s="1">
        <v>1393</v>
      </c>
      <c r="C95" s="11">
        <v>0.42130000000000001</v>
      </c>
    </row>
    <row r="96" spans="1:9" x14ac:dyDescent="0.35">
      <c r="A96" t="s">
        <v>59</v>
      </c>
      <c r="B96" s="1">
        <v>1885</v>
      </c>
      <c r="C96" s="11">
        <v>0.65629999999999999</v>
      </c>
    </row>
    <row r="97" spans="1:3" x14ac:dyDescent="0.35">
      <c r="A97" t="s">
        <v>60</v>
      </c>
      <c r="B97">
        <v>806</v>
      </c>
      <c r="C97" s="11">
        <v>0.37169999999999997</v>
      </c>
    </row>
    <row r="98" spans="1:3" x14ac:dyDescent="0.35">
      <c r="A98" t="s">
        <v>61</v>
      </c>
      <c r="B98">
        <v>298</v>
      </c>
      <c r="C98" s="11">
        <v>0.81189999999999996</v>
      </c>
    </row>
    <row r="99" spans="1:3" x14ac:dyDescent="0.35">
      <c r="B99">
        <v>239</v>
      </c>
      <c r="C99" s="11"/>
    </row>
    <row r="100" spans="1:3" x14ac:dyDescent="0.35">
      <c r="B100">
        <v>132</v>
      </c>
      <c r="C100" s="11"/>
    </row>
    <row r="101" spans="1:3" x14ac:dyDescent="0.35">
      <c r="B101">
        <v>196</v>
      </c>
      <c r="C101" s="11"/>
    </row>
    <row r="106" spans="1:3" x14ac:dyDescent="0.35">
      <c r="B106" t="s">
        <v>1</v>
      </c>
      <c r="C106" t="s">
        <v>67</v>
      </c>
    </row>
    <row r="107" spans="1:3" x14ac:dyDescent="0.35">
      <c r="A107" t="s">
        <v>63</v>
      </c>
      <c r="B107" s="1">
        <v>4179</v>
      </c>
      <c r="C107" s="11">
        <v>0.35570000000000002</v>
      </c>
    </row>
    <row r="108" spans="1:3" x14ac:dyDescent="0.35">
      <c r="A108" t="s">
        <v>64</v>
      </c>
      <c r="B108" s="1">
        <v>2895</v>
      </c>
      <c r="C108" s="11">
        <v>0.24640000000000001</v>
      </c>
    </row>
    <row r="109" spans="1:3" x14ac:dyDescent="0.35">
      <c r="A109" t="s">
        <v>65</v>
      </c>
      <c r="B109" s="1">
        <v>1708</v>
      </c>
      <c r="C109" s="11">
        <v>0.1454</v>
      </c>
    </row>
    <row r="110" spans="1:3" x14ac:dyDescent="0.35">
      <c r="A110" t="s">
        <v>66</v>
      </c>
      <c r="B110" s="1">
        <v>2966</v>
      </c>
      <c r="C110" s="11">
        <v>0.2525</v>
      </c>
    </row>
    <row r="116" spans="1:5" x14ac:dyDescent="0.35">
      <c r="A116" t="s">
        <v>71</v>
      </c>
      <c r="B116" t="s">
        <v>1</v>
      </c>
      <c r="C116" t="s">
        <v>2</v>
      </c>
      <c r="D116" t="s">
        <v>3</v>
      </c>
    </row>
    <row r="117" spans="1:5" x14ac:dyDescent="0.35">
      <c r="A117" t="s">
        <v>68</v>
      </c>
      <c r="B117" s="1">
        <v>6820</v>
      </c>
      <c r="C117" s="11">
        <v>0.58050000000000002</v>
      </c>
      <c r="D117">
        <v>58.05</v>
      </c>
    </row>
    <row r="118" spans="1:5" x14ac:dyDescent="0.35">
      <c r="A118" t="s">
        <v>69</v>
      </c>
      <c r="B118" s="1">
        <v>3172</v>
      </c>
      <c r="C118" s="11">
        <v>0.27</v>
      </c>
      <c r="D118">
        <v>85.05</v>
      </c>
    </row>
    <row r="119" spans="1:5" x14ac:dyDescent="0.35">
      <c r="A119" t="s">
        <v>70</v>
      </c>
      <c r="B119" s="1">
        <v>1756</v>
      </c>
      <c r="C119" s="11">
        <v>0.14949999999999999</v>
      </c>
      <c r="D119">
        <v>100</v>
      </c>
    </row>
    <row r="128" spans="1:5" x14ac:dyDescent="0.35">
      <c r="B128" t="s">
        <v>72</v>
      </c>
      <c r="E128" t="s">
        <v>3</v>
      </c>
    </row>
    <row r="129" spans="1:12" x14ac:dyDescent="0.35">
      <c r="A129" t="s">
        <v>79</v>
      </c>
      <c r="C129" t="s">
        <v>2</v>
      </c>
    </row>
    <row r="130" spans="1:12" x14ac:dyDescent="0.35">
      <c r="A130" t="s">
        <v>77</v>
      </c>
      <c r="B130" t="s">
        <v>73</v>
      </c>
      <c r="C130" s="11">
        <v>0.4219</v>
      </c>
      <c r="E130">
        <v>42.19</v>
      </c>
    </row>
    <row r="131" spans="1:12" x14ac:dyDescent="0.35">
      <c r="A131" t="s">
        <v>74</v>
      </c>
      <c r="B131" t="s">
        <v>74</v>
      </c>
      <c r="C131" s="11">
        <v>0.2898</v>
      </c>
      <c r="E131">
        <v>71.16</v>
      </c>
    </row>
    <row r="132" spans="1:12" x14ac:dyDescent="0.35">
      <c r="A132" t="s">
        <v>75</v>
      </c>
      <c r="B132" t="s">
        <v>75</v>
      </c>
      <c r="C132" s="11">
        <v>0.2213</v>
      </c>
      <c r="E132">
        <v>93.29</v>
      </c>
    </row>
    <row r="133" spans="1:12" x14ac:dyDescent="0.35">
      <c r="A133" t="s">
        <v>78</v>
      </c>
      <c r="B133" t="s">
        <v>76</v>
      </c>
      <c r="C133" s="11">
        <v>6.7100000000000007E-2</v>
      </c>
      <c r="E133">
        <v>100</v>
      </c>
    </row>
    <row r="140" spans="1:12" x14ac:dyDescent="0.35">
      <c r="C140" s="21" t="s">
        <v>80</v>
      </c>
      <c r="D140" s="21" t="s">
        <v>81</v>
      </c>
      <c r="E140" s="21" t="s">
        <v>82</v>
      </c>
      <c r="F140" s="21" t="s">
        <v>83</v>
      </c>
      <c r="G140" s="21" t="s">
        <v>84</v>
      </c>
      <c r="H140" s="21" t="s">
        <v>85</v>
      </c>
      <c r="I140" s="21" t="s">
        <v>86</v>
      </c>
    </row>
    <row r="141" spans="1:12" x14ac:dyDescent="0.35">
      <c r="A141" t="s">
        <v>87</v>
      </c>
      <c r="C141" s="11">
        <v>9.7199999999999995E-2</v>
      </c>
      <c r="D141" s="11">
        <v>0.47120000000000001</v>
      </c>
      <c r="E141" s="11">
        <v>2.1299999999999999E-2</v>
      </c>
      <c r="F141" s="11">
        <v>0.14799999999999999</v>
      </c>
      <c r="G141" s="11">
        <v>2.24E-2</v>
      </c>
      <c r="H141" s="11">
        <v>0.28050000000000003</v>
      </c>
      <c r="I141" s="11">
        <v>0.47270000000000001</v>
      </c>
      <c r="L141" s="1"/>
    </row>
    <row r="142" spans="1:12" x14ac:dyDescent="0.35">
      <c r="A142" t="s">
        <v>88</v>
      </c>
      <c r="C142" s="11">
        <v>0.86240000000000006</v>
      </c>
      <c r="D142" s="11">
        <v>0.51459999999999995</v>
      </c>
      <c r="E142" s="11">
        <v>0.86470000000000002</v>
      </c>
      <c r="F142" s="11">
        <v>0.8377</v>
      </c>
      <c r="G142" s="11">
        <v>0.95069999999999999</v>
      </c>
      <c r="H142" s="11">
        <v>0.65669999999999995</v>
      </c>
      <c r="I142" s="11">
        <v>0.29599999999999999</v>
      </c>
      <c r="K142" s="1"/>
      <c r="L142" s="1"/>
    </row>
    <row r="143" spans="1:12" x14ac:dyDescent="0.35">
      <c r="A143" t="s">
        <v>89</v>
      </c>
      <c r="C143" s="11">
        <v>1E-3</v>
      </c>
      <c r="D143" s="11">
        <v>5.0000000000000001E-4</v>
      </c>
      <c r="E143" s="11">
        <v>8.9999999999999998E-4</v>
      </c>
      <c r="F143" s="11">
        <v>4.0000000000000002E-4</v>
      </c>
      <c r="G143" s="11">
        <v>3.7000000000000002E-3</v>
      </c>
      <c r="H143" s="11">
        <v>4.0000000000000002E-4</v>
      </c>
      <c r="I143" s="11">
        <v>4.0000000000000002E-4</v>
      </c>
    </row>
    <row r="144" spans="1:12" x14ac:dyDescent="0.35">
      <c r="A144" t="s">
        <v>90</v>
      </c>
      <c r="C144" s="11">
        <v>1.38E-2</v>
      </c>
      <c r="D144" s="11">
        <v>7.6E-3</v>
      </c>
      <c r="E144" s="11">
        <v>7.7999999999999996E-3</v>
      </c>
      <c r="F144" s="11">
        <v>6.3E-3</v>
      </c>
      <c r="G144" s="11">
        <v>6.0000000000000001E-3</v>
      </c>
      <c r="H144" s="11">
        <v>8.6E-3</v>
      </c>
      <c r="I144" s="11">
        <v>2.8000000000000001E-2</v>
      </c>
    </row>
    <row r="145" spans="1:9" x14ac:dyDescent="0.35">
      <c r="A145" t="s">
        <v>91</v>
      </c>
      <c r="C145" s="11">
        <v>2.9999999999999997E-4</v>
      </c>
      <c r="D145" s="11">
        <v>4.4000000000000003E-3</v>
      </c>
      <c r="E145" s="11">
        <v>9.8599999999999993E-2</v>
      </c>
      <c r="F145" s="11">
        <v>1E-4</v>
      </c>
      <c r="G145" s="11">
        <v>6.9999999999999999E-4</v>
      </c>
      <c r="H145" s="11">
        <v>5.1400000000000001E-2</v>
      </c>
      <c r="I145" s="11">
        <v>0.20269999999999999</v>
      </c>
    </row>
    <row r="146" spans="1:9" x14ac:dyDescent="0.35">
      <c r="A146" t="s">
        <v>92</v>
      </c>
      <c r="C146" s="11">
        <v>3.5000000000000001E-3</v>
      </c>
      <c r="D146" s="11">
        <v>1.1999999999999999E-3</v>
      </c>
      <c r="E146" s="11">
        <v>5.1000000000000004E-3</v>
      </c>
      <c r="F146" s="11">
        <v>1.6000000000000001E-3</v>
      </c>
      <c r="G146" s="11">
        <v>3.0000000000000001E-3</v>
      </c>
      <c r="H146" s="11">
        <v>1.1000000000000001E-3</v>
      </c>
      <c r="I146" s="11">
        <v>2.0000000000000001E-4</v>
      </c>
    </row>
    <row r="147" spans="1:9" x14ac:dyDescent="0.35">
      <c r="A147" t="s">
        <v>93</v>
      </c>
      <c r="C147" s="11">
        <v>2.18E-2</v>
      </c>
      <c r="D147" s="11">
        <v>5.0000000000000001E-4</v>
      </c>
      <c r="E147" s="11">
        <v>1.6000000000000001E-3</v>
      </c>
      <c r="F147" s="11">
        <v>4.8999999999999998E-3</v>
      </c>
      <c r="G147" s="11">
        <v>1.35E-2</v>
      </c>
      <c r="H147" s="11">
        <v>1.1999999999999999E-3</v>
      </c>
      <c r="I147" s="11">
        <v>0</v>
      </c>
    </row>
    <row r="148" spans="1:9" x14ac:dyDescent="0.35">
      <c r="C148" s="10">
        <f t="shared" ref="C148:I148" si="1">SUM(C141:C147)</f>
        <v>1</v>
      </c>
      <c r="D148" s="10">
        <f t="shared" si="1"/>
        <v>0.99999999999999989</v>
      </c>
      <c r="E148" s="10">
        <f t="shared" si="1"/>
        <v>1</v>
      </c>
      <c r="F148" s="10">
        <f t="shared" si="1"/>
        <v>0.999</v>
      </c>
      <c r="G148" s="10">
        <f t="shared" si="1"/>
        <v>1</v>
      </c>
      <c r="H148" s="10">
        <f t="shared" si="1"/>
        <v>0.99990000000000001</v>
      </c>
      <c r="I148" s="10">
        <f t="shared" si="1"/>
        <v>0.99999999999999989</v>
      </c>
    </row>
    <row r="160" spans="1:9" x14ac:dyDescent="0.35">
      <c r="D160" t="s">
        <v>3</v>
      </c>
      <c r="G160" t="s">
        <v>94</v>
      </c>
    </row>
    <row r="161" spans="7:9" x14ac:dyDescent="0.35">
      <c r="G161" t="s">
        <v>51</v>
      </c>
      <c r="H161" s="11">
        <v>0.20230000000000001</v>
      </c>
    </row>
    <row r="162" spans="7:9" x14ac:dyDescent="0.35">
      <c r="G162" t="s">
        <v>54</v>
      </c>
      <c r="H162" s="11">
        <v>0.45810000000000001</v>
      </c>
    </row>
    <row r="163" spans="7:9" x14ac:dyDescent="0.35">
      <c r="G163" t="s">
        <v>52</v>
      </c>
      <c r="H163" s="11">
        <v>0.30880000000000002</v>
      </c>
    </row>
    <row r="164" spans="7:9" x14ac:dyDescent="0.35">
      <c r="G164" t="s">
        <v>55</v>
      </c>
      <c r="H164" s="11">
        <v>3.0700000000000002E-2</v>
      </c>
    </row>
    <row r="171" spans="7:9" x14ac:dyDescent="0.35">
      <c r="H171">
        <v>2407</v>
      </c>
    </row>
    <row r="172" spans="7:9" x14ac:dyDescent="0.35">
      <c r="G172" s="22" t="s">
        <v>95</v>
      </c>
      <c r="H172" s="22">
        <v>1780</v>
      </c>
      <c r="I172" s="23">
        <f>H172/H171</f>
        <v>0.73950976319069384</v>
      </c>
    </row>
    <row r="173" spans="7:9" x14ac:dyDescent="0.35">
      <c r="G173" s="22" t="s">
        <v>96</v>
      </c>
      <c r="H173" s="22">
        <f>H171-H172</f>
        <v>627</v>
      </c>
      <c r="I173" s="23">
        <f>H173/H171</f>
        <v>0.26049023680930616</v>
      </c>
    </row>
    <row r="182" spans="1:5" ht="15" thickBot="1" x14ac:dyDescent="0.4">
      <c r="C182" t="s">
        <v>97</v>
      </c>
      <c r="D182" t="s">
        <v>98</v>
      </c>
      <c r="E182" t="s">
        <v>99</v>
      </c>
    </row>
    <row r="183" spans="1:5" ht="15" thickTop="1" x14ac:dyDescent="0.35">
      <c r="A183" s="4" t="s">
        <v>33</v>
      </c>
      <c r="C183">
        <v>3.1</v>
      </c>
      <c r="D183" s="11">
        <v>0.6</v>
      </c>
      <c r="E183" s="11">
        <v>0.81</v>
      </c>
    </row>
    <row r="184" spans="1:5" x14ac:dyDescent="0.35">
      <c r="A184" s="6" t="s">
        <v>34</v>
      </c>
      <c r="C184">
        <v>4.8499999999999996</v>
      </c>
      <c r="D184" s="11">
        <v>0.86</v>
      </c>
      <c r="E184" s="11">
        <v>0.8</v>
      </c>
    </row>
    <row r="185" spans="1:5" x14ac:dyDescent="0.35">
      <c r="A185" s="6" t="s">
        <v>35</v>
      </c>
      <c r="C185">
        <v>4.21</v>
      </c>
      <c r="D185" s="11">
        <v>0.71</v>
      </c>
      <c r="E185" s="11">
        <v>0.66</v>
      </c>
    </row>
    <row r="186" spans="1:5" x14ac:dyDescent="0.35">
      <c r="A186" s="25" t="s">
        <v>36</v>
      </c>
      <c r="C186">
        <v>2.27</v>
      </c>
      <c r="D186" s="11">
        <v>0.54</v>
      </c>
      <c r="E186" s="26">
        <v>0.37</v>
      </c>
    </row>
    <row r="187" spans="1:5" x14ac:dyDescent="0.35">
      <c r="A187" s="25" t="s">
        <v>37</v>
      </c>
      <c r="C187">
        <v>2.58</v>
      </c>
      <c r="D187" s="11">
        <v>0.69</v>
      </c>
      <c r="E187" s="26">
        <v>0.45</v>
      </c>
    </row>
    <row r="188" spans="1:5" x14ac:dyDescent="0.35">
      <c r="A188" s="6" t="s">
        <v>38</v>
      </c>
      <c r="C188">
        <v>3.9</v>
      </c>
      <c r="D188" s="11">
        <v>0.64</v>
      </c>
      <c r="E188" s="11">
        <v>0.63</v>
      </c>
    </row>
    <row r="189" spans="1:5" x14ac:dyDescent="0.35">
      <c r="A189" s="6" t="s">
        <v>39</v>
      </c>
      <c r="C189">
        <v>3.23</v>
      </c>
      <c r="D189" s="11">
        <v>0.55000000000000004</v>
      </c>
      <c r="E189" s="11">
        <v>0.74</v>
      </c>
    </row>
    <row r="190" spans="1:5" x14ac:dyDescent="0.35">
      <c r="A190" s="6" t="s">
        <v>40</v>
      </c>
      <c r="C190">
        <v>3.27</v>
      </c>
      <c r="D190" s="11">
        <v>0.6</v>
      </c>
      <c r="E190" s="11">
        <v>0.62</v>
      </c>
    </row>
    <row r="191" spans="1:5" x14ac:dyDescent="0.35">
      <c r="A191" s="25" t="s">
        <v>41</v>
      </c>
      <c r="C191">
        <v>2.87</v>
      </c>
      <c r="D191" s="11">
        <v>0.56999999999999995</v>
      </c>
      <c r="E191" s="26">
        <v>0.47</v>
      </c>
    </row>
    <row r="192" spans="1:5" x14ac:dyDescent="0.35">
      <c r="A192" s="6" t="s">
        <v>42</v>
      </c>
      <c r="C192">
        <v>3.32</v>
      </c>
      <c r="D192" s="11">
        <v>0.72</v>
      </c>
      <c r="E192" s="11">
        <v>0.9</v>
      </c>
    </row>
    <row r="193" spans="1:5" x14ac:dyDescent="0.35">
      <c r="A193" s="6" t="s">
        <v>43</v>
      </c>
      <c r="C193">
        <v>3.73</v>
      </c>
      <c r="D193" s="26">
        <v>0.43</v>
      </c>
      <c r="E193" s="11">
        <v>0.91</v>
      </c>
    </row>
    <row r="194" spans="1:5" x14ac:dyDescent="0.35">
      <c r="A194" s="6" t="s">
        <v>44</v>
      </c>
      <c r="C194">
        <v>4.3499999999999996</v>
      </c>
      <c r="D194" s="11">
        <v>0.85</v>
      </c>
      <c r="E194" s="11">
        <v>0.74</v>
      </c>
    </row>
    <row r="195" spans="1:5" x14ac:dyDescent="0.35">
      <c r="A195" s="6" t="s">
        <v>45</v>
      </c>
      <c r="C195">
        <v>3.13</v>
      </c>
      <c r="D195" s="26">
        <v>0.51</v>
      </c>
      <c r="E195" s="11">
        <v>0.73</v>
      </c>
    </row>
    <row r="196" spans="1:5" x14ac:dyDescent="0.35">
      <c r="A196" s="6" t="s">
        <v>46</v>
      </c>
      <c r="C196">
        <v>2.2400000000000002</v>
      </c>
      <c r="D196" s="26">
        <v>0.34</v>
      </c>
      <c r="E196" s="11">
        <v>0.64</v>
      </c>
    </row>
    <row r="197" spans="1:5" x14ac:dyDescent="0.35">
      <c r="A197" s="6" t="s">
        <v>47</v>
      </c>
      <c r="C197">
        <v>2.9</v>
      </c>
      <c r="D197" s="26">
        <v>0.36</v>
      </c>
      <c r="E197" s="11">
        <v>0.64</v>
      </c>
    </row>
    <row r="198" spans="1:5" x14ac:dyDescent="0.35">
      <c r="A198" s="25" t="s">
        <v>48</v>
      </c>
      <c r="C198">
        <v>2.75</v>
      </c>
      <c r="D198" s="26">
        <v>0.56999999999999995</v>
      </c>
      <c r="E198" s="26">
        <v>0.56999999999999995</v>
      </c>
    </row>
    <row r="199" spans="1:5" x14ac:dyDescent="0.35">
      <c r="A199" s="6" t="s">
        <v>49</v>
      </c>
      <c r="C199">
        <v>4.0999999999999996</v>
      </c>
      <c r="D199" s="11">
        <v>0.66</v>
      </c>
      <c r="E199" s="26">
        <v>0.54</v>
      </c>
    </row>
    <row r="200" spans="1:5" ht="15" thickBot="1" x14ac:dyDescent="0.4">
      <c r="A200" s="24" t="s">
        <v>26</v>
      </c>
      <c r="C200">
        <v>3.47</v>
      </c>
      <c r="D200" s="11">
        <v>0.61</v>
      </c>
      <c r="E200" s="11">
        <v>0.68</v>
      </c>
    </row>
    <row r="201" spans="1:5" ht="15" thickTop="1" x14ac:dyDescent="0.35"/>
    <row r="216" spans="1:5" ht="15" thickBot="1" x14ac:dyDescent="0.4"/>
    <row r="217" spans="1:5" ht="35.5" thickTop="1" thickBot="1" x14ac:dyDescent="0.4">
      <c r="A217" s="27" t="s">
        <v>100</v>
      </c>
      <c r="B217" s="28" t="s">
        <v>77</v>
      </c>
      <c r="C217" s="28" t="s">
        <v>74</v>
      </c>
      <c r="D217" s="28" t="s">
        <v>75</v>
      </c>
      <c r="E217" s="28" t="s">
        <v>76</v>
      </c>
    </row>
    <row r="218" spans="1:5" ht="15" thickTop="1" x14ac:dyDescent="0.35">
      <c r="A218" s="29" t="s">
        <v>33</v>
      </c>
      <c r="B218" s="32">
        <v>0.113</v>
      </c>
      <c r="C218" s="32">
        <v>0.502</v>
      </c>
      <c r="D218" s="32">
        <v>0.38500000000000001</v>
      </c>
      <c r="E218" s="33" t="s">
        <v>101</v>
      </c>
    </row>
    <row r="219" spans="1:5" x14ac:dyDescent="0.35">
      <c r="A219" s="29" t="s">
        <v>34</v>
      </c>
      <c r="B219" s="32">
        <v>0.443</v>
      </c>
      <c r="C219" s="32">
        <v>0.28799999999999998</v>
      </c>
      <c r="D219" s="32">
        <v>0.249</v>
      </c>
      <c r="E219" s="32">
        <v>1.9E-2</v>
      </c>
    </row>
    <row r="220" spans="1:5" x14ac:dyDescent="0.35">
      <c r="A220" s="29" t="s">
        <v>35</v>
      </c>
      <c r="B220" s="32">
        <v>0.41199999999999998</v>
      </c>
      <c r="C220" s="32">
        <v>0.32300000000000001</v>
      </c>
      <c r="D220" s="32">
        <v>0.24</v>
      </c>
      <c r="E220" s="32">
        <v>2.5000000000000001E-2</v>
      </c>
    </row>
    <row r="221" spans="1:5" x14ac:dyDescent="0.35">
      <c r="A221" s="29" t="s">
        <v>36</v>
      </c>
      <c r="B221" s="32">
        <v>0.20499999999999999</v>
      </c>
      <c r="C221" s="32">
        <v>0.33800000000000002</v>
      </c>
      <c r="D221" s="32">
        <v>0.42299999999999999</v>
      </c>
      <c r="E221" s="32">
        <v>3.5000000000000003E-2</v>
      </c>
    </row>
    <row r="222" spans="1:5" x14ac:dyDescent="0.35">
      <c r="A222" s="29" t="s">
        <v>37</v>
      </c>
      <c r="B222" s="32">
        <v>0.35</v>
      </c>
      <c r="C222" s="32">
        <v>0.223</v>
      </c>
      <c r="D222" s="32">
        <v>0.28399999999999997</v>
      </c>
      <c r="E222" s="32">
        <v>0.14199999999999999</v>
      </c>
    </row>
    <row r="223" spans="1:5" x14ac:dyDescent="0.35">
      <c r="A223" s="29" t="s">
        <v>38</v>
      </c>
      <c r="B223" s="32">
        <v>0.65700000000000003</v>
      </c>
      <c r="C223" s="32">
        <v>0.33300000000000002</v>
      </c>
      <c r="D223" s="32">
        <v>3.0000000000000001E-3</v>
      </c>
      <c r="E223" s="32">
        <v>6.0000000000000001E-3</v>
      </c>
    </row>
    <row r="224" spans="1:5" x14ac:dyDescent="0.35">
      <c r="A224" s="29" t="s">
        <v>39</v>
      </c>
      <c r="B224" s="32">
        <v>0.50800000000000001</v>
      </c>
      <c r="C224" s="32">
        <v>0.39800000000000002</v>
      </c>
      <c r="D224" s="32">
        <v>6.5000000000000002E-2</v>
      </c>
      <c r="E224" s="32">
        <v>2.9000000000000001E-2</v>
      </c>
    </row>
    <row r="225" spans="1:5" x14ac:dyDescent="0.35">
      <c r="A225" s="29" t="s">
        <v>40</v>
      </c>
      <c r="B225" s="32">
        <v>0.129</v>
      </c>
      <c r="C225" s="32">
        <v>0.38100000000000001</v>
      </c>
      <c r="D225" s="32">
        <v>0.42499999999999999</v>
      </c>
      <c r="E225" s="32">
        <v>6.5000000000000002E-2</v>
      </c>
    </row>
    <row r="226" spans="1:5" x14ac:dyDescent="0.35">
      <c r="A226" s="29" t="s">
        <v>41</v>
      </c>
      <c r="B226" s="32">
        <v>0.44400000000000001</v>
      </c>
      <c r="C226" s="32">
        <v>0.17299999999999999</v>
      </c>
      <c r="D226" s="32">
        <v>0.36299999999999999</v>
      </c>
      <c r="E226" s="32">
        <v>0.02</v>
      </c>
    </row>
    <row r="227" spans="1:5" x14ac:dyDescent="0.35">
      <c r="A227" s="29" t="s">
        <v>42</v>
      </c>
      <c r="B227" s="32">
        <v>0.99099999999999999</v>
      </c>
      <c r="C227" s="32">
        <v>3.0000000000000001E-3</v>
      </c>
      <c r="D227" s="32">
        <v>6.0000000000000001E-3</v>
      </c>
      <c r="E227" s="33" t="s">
        <v>101</v>
      </c>
    </row>
    <row r="228" spans="1:5" x14ac:dyDescent="0.35">
      <c r="A228" s="29" t="s">
        <v>43</v>
      </c>
      <c r="B228" s="32">
        <v>0.14799999999999999</v>
      </c>
      <c r="C228" s="32">
        <v>0.47</v>
      </c>
      <c r="D228" s="32">
        <v>0.20799999999999999</v>
      </c>
      <c r="E228" s="32">
        <v>0.17399999999999999</v>
      </c>
    </row>
    <row r="229" spans="1:5" x14ac:dyDescent="0.35">
      <c r="A229" s="29" t="s">
        <v>44</v>
      </c>
      <c r="B229" s="32">
        <v>0.25</v>
      </c>
      <c r="C229" s="32">
        <v>0.46300000000000002</v>
      </c>
      <c r="D229" s="32">
        <v>0.19500000000000001</v>
      </c>
      <c r="E229" s="32">
        <v>9.2999999999999999E-2</v>
      </c>
    </row>
    <row r="230" spans="1:5" x14ac:dyDescent="0.35">
      <c r="A230" s="29" t="s">
        <v>45</v>
      </c>
      <c r="B230" s="32">
        <v>0.60899999999999999</v>
      </c>
      <c r="C230" s="32">
        <v>0.219</v>
      </c>
      <c r="D230" s="32">
        <v>0.128</v>
      </c>
      <c r="E230" s="32">
        <v>4.3999999999999997E-2</v>
      </c>
    </row>
    <row r="231" spans="1:5" x14ac:dyDescent="0.35">
      <c r="A231" s="29" t="s">
        <v>46</v>
      </c>
      <c r="B231" s="32">
        <v>0.72399999999999998</v>
      </c>
      <c r="C231" s="32">
        <v>6.9000000000000006E-2</v>
      </c>
      <c r="D231" s="32">
        <v>0.122</v>
      </c>
      <c r="E231" s="32">
        <v>8.5999999999999993E-2</v>
      </c>
    </row>
    <row r="232" spans="1:5" x14ac:dyDescent="0.35">
      <c r="A232" s="29" t="s">
        <v>47</v>
      </c>
      <c r="B232" s="32">
        <v>0.54400000000000004</v>
      </c>
      <c r="C232" s="32">
        <v>0.16900000000000001</v>
      </c>
      <c r="D232" s="32">
        <v>0.13900000000000001</v>
      </c>
      <c r="E232" s="32">
        <v>0.14799999999999999</v>
      </c>
    </row>
    <row r="233" spans="1:5" x14ac:dyDescent="0.35">
      <c r="A233" s="29" t="s">
        <v>48</v>
      </c>
      <c r="B233" s="32">
        <v>0.187</v>
      </c>
      <c r="C233" s="32">
        <v>0.36799999999999999</v>
      </c>
      <c r="D233" s="32">
        <v>0.32500000000000001</v>
      </c>
      <c r="E233" s="32">
        <v>0.12</v>
      </c>
    </row>
    <row r="234" spans="1:5" ht="15" thickBot="1" x14ac:dyDescent="0.4">
      <c r="A234" s="30" t="s">
        <v>49</v>
      </c>
      <c r="B234" s="34">
        <v>0.36899999999999999</v>
      </c>
      <c r="C234" s="34">
        <v>0.19700000000000001</v>
      </c>
      <c r="D234" s="34">
        <v>0.379</v>
      </c>
      <c r="E234" s="34">
        <v>5.3999999999999999E-2</v>
      </c>
    </row>
    <row r="235" spans="1:5" ht="15.5" thickTop="1" thickBot="1" x14ac:dyDescent="0.4">
      <c r="A235" s="31" t="s">
        <v>26</v>
      </c>
      <c r="B235" s="35">
        <v>0.42199999999999999</v>
      </c>
      <c r="C235" s="35">
        <v>0.28999999999999998</v>
      </c>
      <c r="D235" s="35">
        <v>0.221</v>
      </c>
      <c r="E235" s="35">
        <v>6.7000000000000004E-2</v>
      </c>
    </row>
    <row r="236" spans="1:5" ht="15" thickTop="1" x14ac:dyDescent="0.35"/>
    <row r="247" spans="4:9" x14ac:dyDescent="0.35">
      <c r="D247" t="s">
        <v>102</v>
      </c>
      <c r="E247" t="s">
        <v>111</v>
      </c>
      <c r="G247" t="s">
        <v>103</v>
      </c>
      <c r="H247" t="s">
        <v>104</v>
      </c>
      <c r="I247" t="s">
        <v>105</v>
      </c>
    </row>
    <row r="248" spans="4:9" x14ac:dyDescent="0.35">
      <c r="D248" t="s">
        <v>85</v>
      </c>
      <c r="E248" s="12">
        <v>3.6706669999999999</v>
      </c>
    </row>
    <row r="249" spans="4:9" x14ac:dyDescent="0.35">
      <c r="D249" t="s">
        <v>86</v>
      </c>
      <c r="E249" s="12">
        <v>1.499574</v>
      </c>
    </row>
    <row r="250" spans="4:9" x14ac:dyDescent="0.35">
      <c r="D250" t="s">
        <v>106</v>
      </c>
      <c r="E250" s="12">
        <v>3.3953859999999998</v>
      </c>
    </row>
    <row r="251" spans="4:9" x14ac:dyDescent="0.35">
      <c r="D251" t="s">
        <v>107</v>
      </c>
      <c r="E251" s="12">
        <v>6.4017710000000001</v>
      </c>
    </row>
    <row r="252" spans="4:9" x14ac:dyDescent="0.35">
      <c r="D252" t="s">
        <v>108</v>
      </c>
      <c r="E252" s="12">
        <v>4.5050220000000003</v>
      </c>
    </row>
    <row r="253" spans="4:9" x14ac:dyDescent="0.35">
      <c r="D253" t="s">
        <v>82</v>
      </c>
      <c r="E253" s="12">
        <v>1.8943650000000001</v>
      </c>
    </row>
    <row r="254" spans="4:9" x14ac:dyDescent="0.35">
      <c r="D254" t="s">
        <v>109</v>
      </c>
      <c r="E254" s="12">
        <v>0.57065030000000005</v>
      </c>
    </row>
    <row r="255" spans="4:9" x14ac:dyDescent="0.35">
      <c r="D255" t="s">
        <v>83</v>
      </c>
      <c r="E255" s="12">
        <v>2.6025710000000002</v>
      </c>
    </row>
    <row r="256" spans="4:9" x14ac:dyDescent="0.35">
      <c r="D256" t="s">
        <v>110</v>
      </c>
      <c r="E256" s="12">
        <v>2.1660710000000001</v>
      </c>
    </row>
  </sheetData>
  <mergeCells count="1">
    <mergeCell ref="A75:B7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8263-70F1-41D2-B42F-E828E4048A12}">
  <dimension ref="A1:F3"/>
  <sheetViews>
    <sheetView workbookViewId="0">
      <selection activeCell="F2" sqref="F2:F3"/>
    </sheetView>
  </sheetViews>
  <sheetFormatPr defaultRowHeight="14.5" x14ac:dyDescent="0.35"/>
  <sheetData>
    <row r="1" spans="1:6" ht="38.5" x14ac:dyDescent="0.35">
      <c r="B1" s="15" t="s">
        <v>51</v>
      </c>
      <c r="C1" s="15" t="s">
        <v>54</v>
      </c>
      <c r="D1" s="20" t="s">
        <v>52</v>
      </c>
      <c r="E1" s="20" t="s">
        <v>55</v>
      </c>
    </row>
    <row r="2" spans="1:6" x14ac:dyDescent="0.35">
      <c r="A2" t="s">
        <v>25</v>
      </c>
      <c r="B2" s="18">
        <v>0.215</v>
      </c>
      <c r="C2" s="18">
        <v>0.45450000000000002</v>
      </c>
      <c r="D2" s="18">
        <v>0.30109999999999998</v>
      </c>
      <c r="E2" s="18">
        <v>2.9399999999999999E-2</v>
      </c>
      <c r="F2" s="10">
        <f>SUM(B2:E2)</f>
        <v>0.99999999999999989</v>
      </c>
    </row>
    <row r="3" spans="1:6" x14ac:dyDescent="0.35">
      <c r="A3" t="s">
        <v>24</v>
      </c>
      <c r="B3" s="18">
        <v>0.1681</v>
      </c>
      <c r="C3" s="18">
        <v>0.46789999999999998</v>
      </c>
      <c r="D3" s="18">
        <v>0.32969999999999999</v>
      </c>
      <c r="E3" s="18">
        <v>3.4299999999999997E-2</v>
      </c>
      <c r="F3" s="10">
        <f>SUM(B3:E3)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D97FBE94-0567-4CAC-A29B-7A34EBEC6392}"/>
</file>

<file path=customXml/itemProps2.xml><?xml version="1.0" encoding="utf-8"?>
<ds:datastoreItem xmlns:ds="http://schemas.openxmlformats.org/officeDocument/2006/customXml" ds:itemID="{87834F0E-7C28-458A-9EB8-EA8B32A7EEEA}"/>
</file>

<file path=customXml/itemProps3.xml><?xml version="1.0" encoding="utf-8"?>
<ds:datastoreItem xmlns:ds="http://schemas.openxmlformats.org/officeDocument/2006/customXml" ds:itemID="{AACB1E2F-E18C-4E70-B23C-1727F65C8B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WEYORI Alirah</dc:creator>
  <cp:lastModifiedBy>Alirah WEYORI</cp:lastModifiedBy>
  <dcterms:created xsi:type="dcterms:W3CDTF">2023-07-26T14:03:50Z</dcterms:created>
  <dcterms:modified xsi:type="dcterms:W3CDTF">2023-08-08T15:56:25Z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