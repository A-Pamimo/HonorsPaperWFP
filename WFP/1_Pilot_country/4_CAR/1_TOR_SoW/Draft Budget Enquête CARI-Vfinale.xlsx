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07"/>
  <workbookPr/>
  <mc:AlternateContent xmlns:mc="http://schemas.openxmlformats.org/markup-compatibility/2006">
    <mc:Choice Requires="x15">
      <x15ac:absPath xmlns:x15ac="http://schemas.microsoft.com/office/spreadsheetml/2010/11/ac" url="https://wfp-my.sharepoint.com/personal/king_kenguelewa_wfp_org/Documents/Enquête CARI/"/>
    </mc:Choice>
  </mc:AlternateContent>
  <xr:revisionPtr revIDLastSave="1" documentId="8_{8F79309D-7C28-4F64-BF33-7D8CE09A4545}" xr6:coauthVersionLast="47" xr6:coauthVersionMax="47" xr10:uidLastSave="{DD79749D-ADA3-4E44-AE8F-3A9300B5F9D0}"/>
  <bookViews>
    <workbookView xWindow="-110" yWindow="-110" windowWidth="19420" windowHeight="11620" activeTab="1" xr2:uid="{00000000-000D-0000-FFFF-FFFF00000000}"/>
  </bookViews>
  <sheets>
    <sheet name="Face 2 Face" sheetId="4" r:id="rId1"/>
    <sheet name="Remote" sheetId="5" r:id="rId2"/>
    <sheet name="Budget EFSA 2015" sheetId="1" state="hidden" r:id="rId3"/>
    <sheet name="scenarii" sheetId="2" state="hidden" r:id="rId4"/>
  </sheets>
  <externalReferences>
    <externalReference r:id="rId5"/>
  </externalReferences>
  <definedNames>
    <definedName name="_xlnm.Print_Area" localSheetId="0">'Face 2 Face'!$A$1:$H$74</definedName>
    <definedName name="_xlnm.Print_Area" localSheetId="1">Remote!$A$1:$H$53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5" i="4" l="1"/>
  <c r="G52" i="4"/>
  <c r="H51" i="4"/>
  <c r="G43" i="4"/>
  <c r="G24" i="4"/>
  <c r="G17" i="4"/>
  <c r="H11" i="5"/>
  <c r="G11" i="5"/>
  <c r="G28" i="5"/>
  <c r="H28" i="5" s="1"/>
  <c r="G27" i="5"/>
  <c r="H27" i="5" s="1"/>
  <c r="G50" i="4"/>
  <c r="H50" i="4" s="1"/>
  <c r="G47" i="4"/>
  <c r="H47" i="4" s="1"/>
  <c r="G46" i="4"/>
  <c r="H46" i="4" s="1"/>
  <c r="G49" i="4"/>
  <c r="H49" i="4" s="1"/>
  <c r="G48" i="4"/>
  <c r="H48" i="4" s="1"/>
  <c r="G45" i="4"/>
  <c r="H45" i="4" s="1"/>
  <c r="G44" i="4"/>
  <c r="H44" i="4" s="1"/>
  <c r="G15" i="4"/>
  <c r="G38" i="4"/>
  <c r="H38" i="4" s="1"/>
  <c r="G20" i="5"/>
  <c r="H20" i="5" s="1"/>
  <c r="G19" i="5"/>
  <c r="H19" i="5" s="1"/>
  <c r="G42" i="4"/>
  <c r="H43" i="4" l="1"/>
  <c r="K32" i="4"/>
  <c r="H30" i="5" l="1"/>
  <c r="G29" i="5"/>
  <c r="G39" i="5" l="1"/>
  <c r="C36" i="5"/>
  <c r="G33" i="5"/>
  <c r="H31" i="5"/>
  <c r="H29" i="5"/>
  <c r="G26" i="5"/>
  <c r="G25" i="5"/>
  <c r="H22" i="5"/>
  <c r="G21" i="5"/>
  <c r="H21" i="5" s="1"/>
  <c r="G18" i="5"/>
  <c r="H18" i="5" s="1"/>
  <c r="G17" i="5"/>
  <c r="H17" i="5" s="1"/>
  <c r="G16" i="5"/>
  <c r="H16" i="5" s="1"/>
  <c r="G15" i="5"/>
  <c r="H13" i="5"/>
  <c r="G12" i="5"/>
  <c r="H12" i="5" s="1"/>
  <c r="G10" i="5"/>
  <c r="H10" i="5" s="1"/>
  <c r="G9" i="5"/>
  <c r="H9" i="5" s="1"/>
  <c r="G8" i="5"/>
  <c r="G35" i="4"/>
  <c r="G30" i="4"/>
  <c r="G29" i="4"/>
  <c r="H32" i="4"/>
  <c r="H39" i="4"/>
  <c r="H40" i="4"/>
  <c r="H23" i="4"/>
  <c r="H16" i="4"/>
  <c r="H26" i="5" l="1"/>
  <c r="G23" i="5"/>
  <c r="H23" i="5" s="1"/>
  <c r="G14" i="5"/>
  <c r="H14" i="5"/>
  <c r="G7" i="5"/>
  <c r="H7" i="5" s="1"/>
  <c r="H8" i="5"/>
  <c r="H25" i="5"/>
  <c r="H15" i="5"/>
  <c r="H42" i="4"/>
  <c r="G34" i="4"/>
  <c r="H34" i="4" s="1"/>
  <c r="G14" i="4"/>
  <c r="G12" i="4"/>
  <c r="H12" i="4" s="1"/>
  <c r="G11" i="4"/>
  <c r="H11" i="4" s="1"/>
  <c r="G10" i="4"/>
  <c r="H10" i="4" s="1"/>
  <c r="G9" i="4"/>
  <c r="G8" i="4"/>
  <c r="H13" i="4"/>
  <c r="G7" i="4" l="1"/>
  <c r="G44" i="5"/>
  <c r="H44" i="5" s="1"/>
  <c r="H9" i="4"/>
  <c r="H14" i="4"/>
  <c r="H8" i="4"/>
  <c r="H7" i="4" l="1"/>
  <c r="G45" i="5"/>
  <c r="H45" i="5" s="1"/>
  <c r="H46" i="5" s="1"/>
  <c r="G31" i="4"/>
  <c r="H31" i="4" s="1"/>
  <c r="G41" i="4"/>
  <c r="H35" i="4"/>
  <c r="G36" i="4"/>
  <c r="H36" i="4" s="1"/>
  <c r="G46" i="5" l="1"/>
  <c r="H41" i="4"/>
  <c r="H30" i="4"/>
  <c r="H29" i="4"/>
  <c r="G28" i="4"/>
  <c r="H28" i="4" l="1"/>
  <c r="G60" i="4"/>
  <c r="C57" i="4"/>
  <c r="G54" i="4"/>
  <c r="G37" i="4"/>
  <c r="G33" i="4"/>
  <c r="H33" i="4" s="1"/>
  <c r="G27" i="4"/>
  <c r="H27" i="4" s="1"/>
  <c r="G26" i="4"/>
  <c r="H24" i="4" s="1"/>
  <c r="G22" i="4"/>
  <c r="H22" i="4" s="1"/>
  <c r="G21" i="4"/>
  <c r="H21" i="4" s="1"/>
  <c r="G20" i="4"/>
  <c r="H20" i="4" s="1"/>
  <c r="G19" i="4"/>
  <c r="H19" i="4" s="1"/>
  <c r="G18" i="4"/>
  <c r="H37" i="4" l="1"/>
  <c r="H26" i="4"/>
  <c r="H15" i="4"/>
  <c r="H18" i="4"/>
  <c r="H17" i="4" l="1"/>
  <c r="H65" i="4"/>
  <c r="I10" i="2"/>
  <c r="D5" i="2"/>
  <c r="F5" i="2"/>
  <c r="D4" i="2"/>
  <c r="F4" i="2"/>
  <c r="K45" i="1"/>
  <c r="G47" i="1"/>
  <c r="H47" i="1" s="1"/>
  <c r="I47" i="1" s="1"/>
  <c r="H15" i="1"/>
  <c r="I15" i="1" s="1"/>
  <c r="G51" i="1"/>
  <c r="H51" i="1" s="1"/>
  <c r="J51" i="1" s="1"/>
  <c r="G44" i="1"/>
  <c r="G33" i="1" s="1"/>
  <c r="H33" i="1" s="1"/>
  <c r="I33" i="1" s="1"/>
  <c r="G57" i="1"/>
  <c r="H57" i="1" s="1"/>
  <c r="I57" i="1" s="1"/>
  <c r="G56" i="1"/>
  <c r="H56" i="1" s="1"/>
  <c r="I56" i="1" s="1"/>
  <c r="G55" i="1"/>
  <c r="H55" i="1"/>
  <c r="I55" i="1" s="1"/>
  <c r="G54" i="1"/>
  <c r="H54" i="1" s="1"/>
  <c r="I54" i="1" s="1"/>
  <c r="G52" i="1"/>
  <c r="G50" i="1"/>
  <c r="G48" i="1" s="1"/>
  <c r="H48" i="1" s="1"/>
  <c r="H50" i="1"/>
  <c r="J50" i="1" s="1"/>
  <c r="G49" i="1"/>
  <c r="G46" i="1"/>
  <c r="H46" i="1"/>
  <c r="I46" i="1" s="1"/>
  <c r="J45" i="1"/>
  <c r="G43" i="1"/>
  <c r="H43" i="1"/>
  <c r="I43" i="1" s="1"/>
  <c r="G42" i="1"/>
  <c r="H42" i="1"/>
  <c r="I42" i="1" s="1"/>
  <c r="G41" i="1"/>
  <c r="H41" i="1" s="1"/>
  <c r="I41" i="1" s="1"/>
  <c r="G40" i="1"/>
  <c r="H40" i="1"/>
  <c r="I40" i="1"/>
  <c r="G37" i="1"/>
  <c r="H37" i="1" s="1"/>
  <c r="I37" i="1" s="1"/>
  <c r="G39" i="1"/>
  <c r="H39" i="1" s="1"/>
  <c r="I39" i="1" s="1"/>
  <c r="H38" i="1"/>
  <c r="I38" i="1"/>
  <c r="G36" i="1"/>
  <c r="H36" i="1" s="1"/>
  <c r="I36" i="1" s="1"/>
  <c r="G35" i="1"/>
  <c r="H35" i="1" s="1"/>
  <c r="I35" i="1" s="1"/>
  <c r="H34" i="1"/>
  <c r="I34" i="1"/>
  <c r="G32" i="1"/>
  <c r="H32" i="1" s="1"/>
  <c r="I32" i="1" s="1"/>
  <c r="G31" i="1"/>
  <c r="H31" i="1" s="1"/>
  <c r="I31" i="1" s="1"/>
  <c r="G30" i="1"/>
  <c r="H30" i="1"/>
  <c r="I30" i="1" s="1"/>
  <c r="G29" i="1"/>
  <c r="H29" i="1"/>
  <c r="I29" i="1"/>
  <c r="G28" i="1"/>
  <c r="H28" i="1" s="1"/>
  <c r="I28" i="1" s="1"/>
  <c r="G27" i="1"/>
  <c r="H27" i="1" s="1"/>
  <c r="I27" i="1" s="1"/>
  <c r="G25" i="1"/>
  <c r="G24" i="1"/>
  <c r="H24" i="1" s="1"/>
  <c r="I24" i="1" s="1"/>
  <c r="G23" i="1"/>
  <c r="H23" i="1"/>
  <c r="I23" i="1" s="1"/>
  <c r="G22" i="1"/>
  <c r="H22" i="1"/>
  <c r="I22" i="1"/>
  <c r="G21" i="1"/>
  <c r="H21" i="1" s="1"/>
  <c r="I21" i="1" s="1"/>
  <c r="G20" i="1"/>
  <c r="H20" i="1" s="1"/>
  <c r="I20" i="1" s="1"/>
  <c r="G19" i="1"/>
  <c r="H19" i="1"/>
  <c r="I19" i="1" s="1"/>
  <c r="G18" i="1"/>
  <c r="H18" i="1"/>
  <c r="I18" i="1"/>
  <c r="G14" i="1"/>
  <c r="G13" i="1"/>
  <c r="H13" i="1"/>
  <c r="I13" i="1"/>
  <c r="H12" i="1"/>
  <c r="I12" i="1" s="1"/>
  <c r="G11" i="1"/>
  <c r="H11" i="1"/>
  <c r="I11" i="1" s="1"/>
  <c r="G10" i="1"/>
  <c r="H10" i="1"/>
  <c r="I10" i="1"/>
  <c r="G9" i="1"/>
  <c r="H9" i="1" s="1"/>
  <c r="G8" i="1"/>
  <c r="H8" i="1" s="1"/>
  <c r="I8" i="1" s="1"/>
  <c r="H52" i="1"/>
  <c r="J52" i="1"/>
  <c r="J48" i="1" s="1"/>
  <c r="H25" i="1"/>
  <c r="I25" i="1"/>
  <c r="H14" i="1"/>
  <c r="H44" i="1"/>
  <c r="I44" i="1" s="1"/>
  <c r="G45" i="1"/>
  <c r="H45" i="1" s="1"/>
  <c r="I45" i="1" s="1"/>
  <c r="G53" i="1"/>
  <c r="H49" i="1"/>
  <c r="J49" i="1" s="1"/>
  <c r="I14" i="1"/>
  <c r="H53" i="1"/>
  <c r="I53" i="1" s="1"/>
  <c r="I9" i="1" l="1"/>
  <c r="H7" i="1"/>
  <c r="J60" i="1"/>
  <c r="I64" i="1" s="1"/>
  <c r="J58" i="1"/>
  <c r="G7" i="1"/>
  <c r="G16" i="1"/>
  <c r="H16" i="1" s="1"/>
  <c r="I16" i="1" s="1"/>
  <c r="I7" i="1" l="1"/>
  <c r="I58" i="1" s="1"/>
  <c r="H58" i="1"/>
  <c r="G58" i="1"/>
  <c r="G59" i="1" l="1"/>
  <c r="H59" i="1" s="1"/>
  <c r="I59" i="1" s="1"/>
  <c r="I60" i="1" s="1"/>
  <c r="I63" i="1" s="1"/>
  <c r="I65" i="1" s="1"/>
  <c r="H60" i="1"/>
  <c r="G60" i="1" l="1"/>
  <c r="G66" i="4" l="1"/>
  <c r="H66" i="4" s="1"/>
  <c r="H67" i="4" s="1"/>
  <c r="H52" i="4"/>
  <c r="G67" i="4" l="1"/>
</calcChain>
</file>

<file path=xl/sharedStrings.xml><?xml version="1.0" encoding="utf-8"?>
<sst xmlns="http://schemas.openxmlformats.org/spreadsheetml/2006/main" count="315" uniqueCount="166">
  <si>
    <t xml:space="preserve">Budget Prévisionnel-Etude rCARI                                                                                                 </t>
  </si>
  <si>
    <t>Taux de change</t>
  </si>
  <si>
    <t>Rubriques/Activités</t>
  </si>
  <si>
    <t>Quantité</t>
  </si>
  <si>
    <t>Cout unitaire</t>
  </si>
  <si>
    <t>Durée</t>
  </si>
  <si>
    <t>Coût Total  FCFA</t>
  </si>
  <si>
    <t>Equivalent USD</t>
  </si>
  <si>
    <t>Unité</t>
  </si>
  <si>
    <t>Nombre</t>
  </si>
  <si>
    <t>Formation des agents de terrain &amp; Pré-Test (5 jours) - Restauration &amp; Transport pré-test</t>
  </si>
  <si>
    <t>Frais de transport (12 enqueteurs, 3 chefs d'equipes, 3 superviseurs)</t>
  </si>
  <si>
    <t>Jour</t>
  </si>
  <si>
    <t>il faut revoir ces chiffres (9-12 enq +2-3 chefs .... + 1-2 superviseurs)</t>
  </si>
  <si>
    <t xml:space="preserve">Pause café matin (4 de CAR, 1RBD, 2HQ) + </t>
  </si>
  <si>
    <t>Pause déjeuner</t>
  </si>
  <si>
    <t>Bouteille d'eau</t>
  </si>
  <si>
    <t xml:space="preserve">Location de la salle pour la formation </t>
  </si>
  <si>
    <t>Visibilité (Tee-Shirts)+ Fanion (devant le vehicule et moto)</t>
  </si>
  <si>
    <t>Transport de 15 personnes sur le lieu du pré-test (2 véhicules de 4 places)</t>
  </si>
  <si>
    <t>Carburant pré-test</t>
  </si>
  <si>
    <t>Kms</t>
  </si>
  <si>
    <t>trop de KM pour un pre-test?</t>
  </si>
  <si>
    <t>Petite caisse pour les notables du village (Pré-test)</t>
  </si>
  <si>
    <t>FOURNITURES ET EQUIPEMENTS FONGIBLES</t>
  </si>
  <si>
    <t>Chemises cartonnées</t>
  </si>
  <si>
    <t>Porte-badges</t>
  </si>
  <si>
    <t>Bloc notes</t>
  </si>
  <si>
    <t>Stylos bleus</t>
  </si>
  <si>
    <t>Marqueurs</t>
  </si>
  <si>
    <t>Flip charts</t>
  </si>
  <si>
    <t>COLLECTE DES DONNEES PRIMAIRES (DP)</t>
  </si>
  <si>
    <t>Collecte &amp; Supervision de la collecte</t>
  </si>
  <si>
    <t>Frais de communication(Enquêteurs et Chefs d'équipe)</t>
  </si>
  <si>
    <t>jours</t>
  </si>
  <si>
    <t>Petite caisse ( collage, traversée de pont/bac, etc…)</t>
  </si>
  <si>
    <t xml:space="preserve">Frais des accompagnants  (25 villages/quartier) </t>
  </si>
  <si>
    <t>trop, a revoir - 50-&gt; 20 villages</t>
  </si>
  <si>
    <t>Frais de mission enqueteurs (partie gouv)</t>
  </si>
  <si>
    <t>echantillion</t>
  </si>
  <si>
    <t>Frais de mission Chefs d'équipe (partie gouv)</t>
  </si>
  <si>
    <t>enq</t>
  </si>
  <si>
    <t xml:space="preserve">Frais de mission superviseurs (partie gouv) </t>
  </si>
  <si>
    <t>enq/day</t>
  </si>
  <si>
    <t>Petite caisse Supervision (Partie gouv)</t>
  </si>
  <si>
    <t>Frais de Communication superviseurs (partie gouv)</t>
  </si>
  <si>
    <t>Credit Data connexion</t>
  </si>
  <si>
    <t>Location de véhicule (Collecte des données)</t>
  </si>
  <si>
    <t>Location de véhicule (Supervision)</t>
  </si>
  <si>
    <t>Frais de location moto</t>
  </si>
  <si>
    <t>Frais de location moto (superviseur)</t>
  </si>
  <si>
    <t>jour</t>
  </si>
  <si>
    <t>Matériel de prévention equipes (boite à pharmacie, etc…)</t>
  </si>
  <si>
    <t>Matériel de prévention Supervision (boite à pharmacie, etc…)</t>
  </si>
  <si>
    <t>Carburant (en litre)</t>
  </si>
  <si>
    <t>Frais de transport (Vols UNHAS)</t>
  </si>
  <si>
    <t xml:space="preserve"> Mission préparatoire Collecte des Listings des quartiers/villages</t>
  </si>
  <si>
    <t>ajoute les vehicules :)</t>
  </si>
  <si>
    <t xml:space="preserve">frais UNHAS </t>
  </si>
  <si>
    <t>Partenariat avec le gouvernement/Renforcement de capacité/et Partenaires  ONGs</t>
  </si>
  <si>
    <t xml:space="preserve">faut separer cette ligne -&gt; 7% du totale </t>
  </si>
  <si>
    <t>Contractualisation avec agence spécialisé et technicien du gouvernement  démographe/ Stasticien (ICASEES)</t>
  </si>
  <si>
    <t>Contractualisation avec les partenaires ONGs membres du cluster SA</t>
  </si>
  <si>
    <t>Mission d'appui BR /RDC</t>
  </si>
  <si>
    <t>Appui dans la rédaction du rapport</t>
  </si>
  <si>
    <t>Salaire consultant ou Rémunération TDYers</t>
  </si>
  <si>
    <t>Rapport (publication/ édition)</t>
  </si>
  <si>
    <t>copies</t>
  </si>
  <si>
    <t xml:space="preserve">Résumé sommaire &amp; dépliants (publication) </t>
  </si>
  <si>
    <t>Achat de clé USB pour le partage au gouvernement</t>
  </si>
  <si>
    <t>Atelier de restitution des résultats préliminaires</t>
  </si>
  <si>
    <t>Pause café</t>
  </si>
  <si>
    <t>Repas</t>
  </si>
  <si>
    <t>Location salle pour atelier</t>
  </si>
  <si>
    <t>Couverture médiatique (frais de presse) forfait</t>
  </si>
  <si>
    <t>a</t>
  </si>
  <si>
    <t>Sous-total</t>
  </si>
  <si>
    <t>b</t>
  </si>
  <si>
    <t>Imprevu 5 %</t>
  </si>
  <si>
    <t>TOTAL GENERAL (a+b)</t>
  </si>
  <si>
    <r>
      <rPr>
        <u/>
        <sz val="12"/>
        <rFont val="Calibri Light"/>
        <family val="2"/>
        <scheme val="major"/>
      </rPr>
      <t xml:space="preserve">Préparé par:
</t>
    </r>
    <r>
      <rPr>
        <b/>
        <sz val="12"/>
        <rFont val="Calibri Light"/>
        <family val="2"/>
        <scheme val="major"/>
      </rPr>
      <t>Abou-King KENGUELEWA
VAM Officer</t>
    </r>
  </si>
  <si>
    <t>Certifié par:
Telesphore OUEDRAOGO
Head of RAM</t>
  </si>
  <si>
    <r>
      <rPr>
        <u/>
        <sz val="12"/>
        <rFont val="Calibri Light"/>
        <family val="2"/>
        <scheme val="major"/>
      </rPr>
      <t xml:space="preserve">Certification Unité des Finances: 
</t>
    </r>
    <r>
      <rPr>
        <b/>
        <u/>
        <sz val="12"/>
        <rFont val="Calibri Light"/>
        <family val="2"/>
        <scheme val="major"/>
      </rPr>
      <t>Jean Michel BIKORO</t>
    </r>
    <r>
      <rPr>
        <b/>
        <sz val="12"/>
        <rFont val="Calibri Light"/>
        <family val="2"/>
        <scheme val="major"/>
      </rPr>
      <t xml:space="preserve">                                    
Head of Finance </t>
    </r>
  </si>
  <si>
    <r>
      <rPr>
        <u/>
        <sz val="12"/>
        <rFont val="Calibri Light"/>
        <family val="2"/>
        <scheme val="major"/>
      </rPr>
      <t>Validé par:</t>
    </r>
    <r>
      <rPr>
        <b/>
        <u/>
        <sz val="12"/>
        <rFont val="Calibri Light"/>
        <family val="2"/>
        <scheme val="major"/>
      </rPr>
      <t xml:space="preserve">
Pascal DIRO</t>
    </r>
    <r>
      <rPr>
        <b/>
        <sz val="12"/>
        <rFont val="Calibri Light"/>
        <family val="2"/>
        <scheme val="major"/>
      </rPr>
      <t xml:space="preserve">                               
Head of Programme</t>
    </r>
  </si>
  <si>
    <r>
      <rPr>
        <u/>
        <sz val="12"/>
        <rFont val="Calibri Light"/>
        <family val="2"/>
        <scheme val="major"/>
      </rPr>
      <t>Approuvé:</t>
    </r>
    <r>
      <rPr>
        <b/>
        <sz val="12"/>
        <rFont val="Calibri Light"/>
        <family val="2"/>
        <scheme val="major"/>
      </rPr>
      <t xml:space="preserve">                                          
Peter SCHALLER                                    
Directeur et Représentant </t>
    </r>
  </si>
  <si>
    <t>Frais de transport</t>
  </si>
  <si>
    <t>Pause café matin</t>
  </si>
  <si>
    <t>Visibilité(Tee-Shirts)+ Fanion</t>
  </si>
  <si>
    <t>Achat Telephone (pour les repondents)</t>
  </si>
  <si>
    <t>Achat Cartes Sim (pour les repondents)</t>
  </si>
  <si>
    <t>Frais de communication(Enquêteurs )</t>
  </si>
  <si>
    <t xml:space="preserve">Frais de mission enqueteurs </t>
  </si>
  <si>
    <t>Frais de mission Superviseurs</t>
  </si>
  <si>
    <t>Frais de communication(Superviseurs )</t>
  </si>
  <si>
    <t>Frais de motivation des enquêtés(Transfert de credit telephonique)</t>
  </si>
  <si>
    <r>
      <t xml:space="preserve">Budget Prévisionnel- </t>
    </r>
    <r>
      <rPr>
        <b/>
        <sz val="14"/>
        <rFont val="Arial"/>
        <family val="2"/>
      </rPr>
      <t xml:space="preserve">Evaluation  de la situation des populations affectées par la crise en  RCA </t>
    </r>
    <r>
      <rPr>
        <b/>
        <sz val="12"/>
        <rFont val="Arial"/>
        <family val="2"/>
      </rPr>
      <t xml:space="preserve">                                                                                                         (EFSA Sept-octobre 2015)                                                                                                   </t>
    </r>
    <r>
      <rPr>
        <b/>
        <sz val="12"/>
        <color indexed="30"/>
        <rFont val="Arial"/>
        <family val="2"/>
      </rPr>
      <t>(CF01-CF11)</t>
    </r>
  </si>
  <si>
    <t>ODOC</t>
  </si>
  <si>
    <t>DSC</t>
  </si>
  <si>
    <t>Observations    /   Contributions</t>
  </si>
  <si>
    <t>FORMATION DES AGENTS ENQUETEURS</t>
  </si>
  <si>
    <t>Location de salle pour la formation des enquêteurs</t>
  </si>
  <si>
    <t>Prétest</t>
  </si>
  <si>
    <t>- Location Bus pour le transport des agents sur le site</t>
  </si>
  <si>
    <t>- Carburant pré-test</t>
  </si>
  <si>
    <t xml:space="preserve">Impression documents </t>
  </si>
  <si>
    <t xml:space="preserve">Consommables </t>
  </si>
  <si>
    <t>Rames de papiers/travaux concept.</t>
  </si>
  <si>
    <t>Piles pour balances électroniques</t>
  </si>
  <si>
    <t>Cahiers de 200 pages</t>
  </si>
  <si>
    <t>Stylos verts, noirs et rouges</t>
  </si>
  <si>
    <t>Markers</t>
  </si>
  <si>
    <t>Equipements (non consommables_ A restituer après usage)</t>
  </si>
  <si>
    <t>Lampe Torches</t>
  </si>
  <si>
    <t>Lampe rechargeable (Total)</t>
  </si>
  <si>
    <t>Hâche</t>
  </si>
  <si>
    <t>Machettes</t>
  </si>
  <si>
    <t>Pelles carrés</t>
  </si>
  <si>
    <t>Vetêments de pluie</t>
  </si>
  <si>
    <t>Indemnités des agents de collecte (AC)</t>
  </si>
  <si>
    <t>- Indemnité des chefs d'équipe</t>
  </si>
  <si>
    <t>- Indemnité des Enquêteurs</t>
  </si>
  <si>
    <t>- Frais de location moto (Bamingui Bangoran)</t>
  </si>
  <si>
    <t xml:space="preserve"> Supervision des opérations </t>
  </si>
  <si>
    <t>- Frais de mission superviseurs</t>
  </si>
  <si>
    <t>Frais de communication</t>
  </si>
  <si>
    <t>Petite caisse (collage, traversée de pont/bac, etc.)</t>
  </si>
  <si>
    <t>Location véhicules pour collecte DP</t>
  </si>
  <si>
    <t>Carburant (en litres)</t>
  </si>
  <si>
    <t>litres</t>
  </si>
  <si>
    <t>Contractualisation avec agence spécialisé et technicien du gouvernement  démographe/ Stasticien</t>
  </si>
  <si>
    <t>_</t>
  </si>
  <si>
    <t>Appui formation mise en place base de données/serveur ODK/et utilisation des tablettes</t>
  </si>
  <si>
    <t>Jours</t>
  </si>
  <si>
    <t>Billet d'avion ( Aller- retour)</t>
  </si>
  <si>
    <t xml:space="preserve">Appui finalisation du rapport </t>
  </si>
  <si>
    <t>Billet d'avion (aller- retour)</t>
  </si>
  <si>
    <t>- Pause café</t>
  </si>
  <si>
    <t>- Repas</t>
  </si>
  <si>
    <t>Imprevu 10 %</t>
  </si>
  <si>
    <t>Financement</t>
  </si>
  <si>
    <t>Montant Total</t>
  </si>
  <si>
    <t>Détails financement PAM</t>
  </si>
  <si>
    <t>FAO</t>
  </si>
  <si>
    <t>FONDS  ODOC</t>
  </si>
  <si>
    <t>PAM</t>
  </si>
  <si>
    <t>FONDS  DSC</t>
  </si>
  <si>
    <t>Grand Total</t>
  </si>
  <si>
    <t>TOTAL GENERAL</t>
  </si>
  <si>
    <t>Scenarii possibles</t>
  </si>
  <si>
    <t>Nbre d'enqueteurs</t>
  </si>
  <si>
    <t>Nbre de ménages  par Enqueteurs/jour</t>
  </si>
  <si>
    <t>Nbre total des fiches à remplir par jour</t>
  </si>
  <si>
    <t>Besoins totaux</t>
  </si>
  <si>
    <t>Nbre jours sur terrain</t>
  </si>
  <si>
    <t xml:space="preserve">Organsation </t>
  </si>
  <si>
    <t>Nbre</t>
  </si>
  <si>
    <t>Scenario 1</t>
  </si>
  <si>
    <t>ICASEES</t>
  </si>
  <si>
    <t>Scenario 2</t>
  </si>
  <si>
    <t>IEDA</t>
  </si>
  <si>
    <t>ACF</t>
  </si>
  <si>
    <t>ACTED</t>
  </si>
  <si>
    <t>TRIANGLE</t>
  </si>
  <si>
    <t>CRS</t>
  </si>
  <si>
    <t xml:space="preserve"> En tout, 68  enqêteurs dont 24 de l'ICASEES pour en moyenne 12 jours  de collecte des données sur terrain.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</si>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</sst>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2" formatCode="_(&quot;$&quot;* #,##0_);_(&quot;$&quot;* \(#,##0\);_(&quot;$&quot;* &quot;-&quot;_);_(@_)"/>
    <numFmt numFmtId="43" formatCode="_(* #,##0.00_);_(* \(#,##0.00\);_(* &quot;-&quot;??_);_(@_)"/>
    <numFmt numFmtId="164" formatCode="_-* #,##0.00_-;\-* #,##0.00_-;_-* &quot;-&quot;??_-;_-@_-"/>
    <numFmt numFmtId="165" formatCode="_-* #,##0.00\ _€_-;\-* #,##0.00\ _€_-;_-* &quot;-&quot;??\ _€_-;_-@_-"/>
    <numFmt numFmtId="166" formatCode="_-* #,##0\ _€_-;\-* #,##0\ _€_-;_-* &quot;-&quot;??\ _€_-;_-@_-"/>
    <numFmt numFmtId="167" formatCode="&quot;$&quot;#,##0"/>
    <numFmt numFmtId="168" formatCode="[$$-45C]#,##0;\-[$$-45C]#,##0"/>
    <numFmt numFmtId="169" formatCode="_([$$-409]* #,##0.00_);_([$$-409]* \(#,##0.00\);_([$$-409]* &quot;-&quot;??_);_(@_)"/>
  </numFmts>
  <fonts count="4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name val="Arial"/>
      <family val="2"/>
    </font>
    <font>
      <b/>
      <sz val="12"/>
      <name val="Arial"/>
      <family val="2"/>
    </font>
    <font>
      <b/>
      <sz val="12"/>
      <color indexed="3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8"/>
      <name val="Calibri"/>
      <family val="2"/>
    </font>
    <font>
      <b/>
      <sz val="8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scheme val="minor"/>
    </font>
    <font>
      <b/>
      <i/>
      <sz val="8"/>
      <name val="Calibri"/>
      <family val="2"/>
      <scheme val="minor"/>
    </font>
    <font>
      <sz val="11"/>
      <name val="Calibri"/>
      <family val="2"/>
      <scheme val="minor"/>
    </font>
    <font>
      <sz val="16"/>
      <name val="Aharoni"/>
      <charset val="177"/>
    </font>
    <font>
      <b/>
      <sz val="12"/>
      <name val="Calibri"/>
      <family val="2"/>
      <scheme val="minor"/>
    </font>
    <font>
      <sz val="22"/>
      <color rgb="FFFF0000"/>
      <name val="Arial"/>
      <family val="2"/>
    </font>
    <font>
      <sz val="18"/>
      <name val="Arial"/>
      <family val="2"/>
    </font>
    <font>
      <b/>
      <sz val="11"/>
      <color theme="1"/>
      <name val="Calibri"/>
      <family val="2"/>
      <scheme val="minor"/>
    </font>
    <font>
      <b/>
      <sz val="14"/>
      <name val="Arial"/>
      <family val="2"/>
    </font>
    <font>
      <sz val="12"/>
      <name val="Calibri Light"/>
      <family val="2"/>
      <scheme val="major"/>
    </font>
    <font>
      <b/>
      <sz val="12"/>
      <name val="Calibri Light"/>
      <family val="2"/>
      <scheme val="major"/>
    </font>
    <font>
      <sz val="11"/>
      <color theme="1"/>
      <name val="Calibri Light"/>
      <family val="2"/>
      <scheme val="major"/>
    </font>
    <font>
      <b/>
      <sz val="11"/>
      <color theme="1"/>
      <name val="Calibri Light"/>
      <family val="2"/>
      <scheme val="major"/>
    </font>
    <font>
      <b/>
      <sz val="16"/>
      <name val="Aharoni"/>
      <charset val="177"/>
    </font>
    <font>
      <sz val="8"/>
      <name val="Calibri Light"/>
      <family val="2"/>
      <scheme val="major"/>
    </font>
    <font>
      <sz val="14"/>
      <color rgb="FFFF0000"/>
      <name val="Calibri"/>
      <family val="2"/>
      <scheme val="minor"/>
    </font>
    <font>
      <i/>
      <sz val="8"/>
      <name val="Arial"/>
      <family val="2"/>
    </font>
    <font>
      <u/>
      <sz val="12"/>
      <name val="Calibri Light"/>
      <family val="2"/>
      <scheme val="major"/>
    </font>
    <font>
      <b/>
      <sz val="18"/>
      <name val="Arial"/>
      <family val="2"/>
    </font>
    <font>
      <b/>
      <sz val="10"/>
      <name val="Calibri"/>
      <family val="2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0"/>
      <name val="Calibri Light"/>
      <family val="2"/>
      <scheme val="major"/>
    </font>
    <font>
      <sz val="10"/>
      <color rgb="FFFF0000"/>
      <name val="Calibri Light"/>
      <family val="2"/>
      <scheme val="major"/>
    </font>
    <font>
      <b/>
      <i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12"/>
      <name val="Calibri Light"/>
      <family val="2"/>
      <scheme val="major"/>
    </font>
    <font>
      <sz val="10"/>
      <color rgb="FF000000"/>
      <name val="Calibri"/>
      <family val="2"/>
    </font>
    <font>
      <sz val="10"/>
      <name val="Calibri Light"/>
      <family val="2"/>
    </font>
    <font>
      <sz val="9"/>
      <color rgb="FF000000"/>
      <name val="Calibri Light"/>
      <family val="2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4.9989318521683403E-2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 style="thin">
        <color indexed="64"/>
      </top>
      <bottom/>
      <diagonal/>
    </border>
    <border>
      <left style="thick">
        <color indexed="64"/>
      </left>
      <right/>
      <top/>
      <bottom style="thin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thin">
        <color indexed="64"/>
      </right>
      <top style="thick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165" fontId="9" fillId="0" borderId="0" applyFont="0" applyFill="0" applyBorder="0" applyAlignment="0" applyProtection="0"/>
  </cellStyleXfs>
  <cellXfs count="240">
    <xf numFmtId="0" fontId="0" fillId="0" borderId="0" xfId="0"/>
    <xf numFmtId="0" fontId="5" fillId="0" borderId="4" xfId="0" applyFont="1" applyBorder="1"/>
    <xf numFmtId="0" fontId="5" fillId="0" borderId="5" xfId="0" applyFont="1" applyBorder="1"/>
    <xf numFmtId="0" fontId="5" fillId="0" borderId="0" xfId="0" applyFont="1"/>
    <xf numFmtId="0" fontId="7" fillId="2" borderId="4" xfId="0" applyFont="1" applyFill="1" applyBorder="1" applyAlignment="1">
      <alignment horizontal="center" vertical="center"/>
    </xf>
    <xf numFmtId="0" fontId="8" fillId="3" borderId="10" xfId="0" applyFont="1" applyFill="1" applyBorder="1" applyAlignment="1">
      <alignment horizontal="center" vertical="center"/>
    </xf>
    <xf numFmtId="0" fontId="8" fillId="3" borderId="4" xfId="0" applyFont="1" applyFill="1" applyBorder="1" applyAlignment="1">
      <alignment vertical="center"/>
    </xf>
    <xf numFmtId="0" fontId="8" fillId="3" borderId="4" xfId="0" applyFont="1" applyFill="1" applyBorder="1" applyAlignment="1">
      <alignment horizontal="center" vertical="center"/>
    </xf>
    <xf numFmtId="3" fontId="8" fillId="3" borderId="4" xfId="0" applyNumberFormat="1" applyFont="1" applyFill="1" applyBorder="1" applyAlignment="1">
      <alignment horizontal="center" vertical="center"/>
    </xf>
    <xf numFmtId="166" fontId="8" fillId="3" borderId="4" xfId="0" applyNumberFormat="1" applyFont="1" applyFill="1" applyBorder="1" applyAlignment="1">
      <alignment horizontal="center" vertical="center"/>
    </xf>
    <xf numFmtId="167" fontId="8" fillId="3" borderId="4" xfId="2" applyNumberFormat="1" applyFont="1" applyFill="1" applyBorder="1" applyAlignment="1">
      <alignment horizontal="right"/>
    </xf>
    <xf numFmtId="0" fontId="10" fillId="2" borderId="10" xfId="0" applyFont="1" applyFill="1" applyBorder="1" applyAlignment="1">
      <alignment horizontal="center" vertical="top"/>
    </xf>
    <xf numFmtId="49" fontId="10" fillId="2" borderId="4" xfId="0" applyNumberFormat="1" applyFont="1" applyFill="1" applyBorder="1" applyAlignment="1">
      <alignment vertical="top"/>
    </xf>
    <xf numFmtId="3" fontId="10" fillId="2" borderId="4" xfId="0" applyNumberFormat="1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166" fontId="10" fillId="2" borderId="4" xfId="1" applyNumberFormat="1" applyFont="1" applyFill="1" applyBorder="1" applyAlignment="1">
      <alignment horizontal="center" vertical="center"/>
    </xf>
    <xf numFmtId="167" fontId="5" fillId="0" borderId="4" xfId="0" applyNumberFormat="1" applyFont="1" applyBorder="1"/>
    <xf numFmtId="0" fontId="8" fillId="2" borderId="10" xfId="0" applyFont="1" applyFill="1" applyBorder="1" applyAlignment="1">
      <alignment horizontal="center" vertical="top"/>
    </xf>
    <xf numFmtId="49" fontId="10" fillId="2" borderId="4" xfId="0" quotePrefix="1" applyNumberFormat="1" applyFont="1" applyFill="1" applyBorder="1" applyAlignment="1">
      <alignment vertical="top"/>
    </xf>
    <xf numFmtId="49" fontId="8" fillId="2" borderId="4" xfId="0" applyNumberFormat="1" applyFont="1" applyFill="1" applyBorder="1" applyAlignment="1">
      <alignment vertical="top"/>
    </xf>
    <xf numFmtId="167" fontId="8" fillId="3" borderId="1" xfId="2" applyNumberFormat="1" applyFont="1" applyFill="1" applyBorder="1" applyAlignment="1">
      <alignment horizontal="right"/>
    </xf>
    <xf numFmtId="0" fontId="8" fillId="0" borderId="10" xfId="0" applyFont="1" applyBorder="1" applyAlignment="1">
      <alignment horizontal="center" vertical="center"/>
    </xf>
    <xf numFmtId="0" fontId="8" fillId="0" borderId="4" xfId="0" applyFont="1" applyBorder="1" applyAlignment="1">
      <alignment vertical="center"/>
    </xf>
    <xf numFmtId="167" fontId="8" fillId="0" borderId="1" xfId="2" applyNumberFormat="1" applyFont="1" applyFill="1" applyBorder="1" applyAlignment="1">
      <alignment horizontal="right"/>
    </xf>
    <xf numFmtId="167" fontId="8" fillId="0" borderId="4" xfId="2" applyNumberFormat="1" applyFont="1" applyFill="1" applyBorder="1" applyAlignment="1">
      <alignment horizontal="right"/>
    </xf>
    <xf numFmtId="0" fontId="10" fillId="2" borderId="4" xfId="0" applyFont="1" applyFill="1" applyBorder="1"/>
    <xf numFmtId="0" fontId="11" fillId="2" borderId="10" xfId="0" applyFont="1" applyFill="1" applyBorder="1" applyAlignment="1">
      <alignment horizontal="center" vertical="top"/>
    </xf>
    <xf numFmtId="0" fontId="8" fillId="2" borderId="4" xfId="0" applyFont="1" applyFill="1" applyBorder="1"/>
    <xf numFmtId="3" fontId="10" fillId="2" borderId="10" xfId="0" applyNumberFormat="1" applyFont="1" applyFill="1" applyBorder="1" applyAlignment="1">
      <alignment horizontal="center" vertical="top"/>
    </xf>
    <xf numFmtId="0" fontId="8" fillId="3" borderId="5" xfId="0" applyFont="1" applyFill="1" applyBorder="1" applyAlignment="1">
      <alignment vertical="center"/>
    </xf>
    <xf numFmtId="167" fontId="8" fillId="3" borderId="5" xfId="2" applyNumberFormat="1" applyFont="1" applyFill="1" applyBorder="1" applyAlignment="1">
      <alignment horizontal="right"/>
    </xf>
    <xf numFmtId="167" fontId="6" fillId="3" borderId="4" xfId="0" applyNumberFormat="1" applyFont="1" applyFill="1" applyBorder="1"/>
    <xf numFmtId="49" fontId="10" fillId="2" borderId="4" xfId="0" applyNumberFormat="1" applyFont="1" applyFill="1" applyBorder="1" applyAlignment="1">
      <alignment vertical="top" wrapText="1"/>
    </xf>
    <xf numFmtId="167" fontId="8" fillId="3" borderId="5" xfId="0" applyNumberFormat="1" applyFont="1" applyFill="1" applyBorder="1" applyAlignment="1">
      <alignment horizontal="right" vertical="center"/>
    </xf>
    <xf numFmtId="167" fontId="8" fillId="3" borderId="4" xfId="0" applyNumberFormat="1" applyFont="1" applyFill="1" applyBorder="1" applyAlignment="1">
      <alignment horizontal="right" vertical="center"/>
    </xf>
    <xf numFmtId="167" fontId="10" fillId="3" borderId="1" xfId="2" applyNumberFormat="1" applyFont="1" applyFill="1" applyBorder="1" applyAlignment="1">
      <alignment horizontal="right"/>
    </xf>
    <xf numFmtId="0" fontId="8" fillId="4" borderId="12" xfId="0" applyFont="1" applyFill="1" applyBorder="1" applyAlignment="1">
      <alignment horizontal="center" vertical="center"/>
    </xf>
    <xf numFmtId="0" fontId="8" fillId="4" borderId="4" xfId="0" applyFont="1" applyFill="1" applyBorder="1" applyAlignment="1">
      <alignment vertical="center"/>
    </xf>
    <xf numFmtId="0" fontId="8" fillId="4" borderId="4" xfId="0" applyFont="1" applyFill="1" applyBorder="1" applyAlignment="1">
      <alignment horizontal="center" vertical="center"/>
    </xf>
    <xf numFmtId="3" fontId="8" fillId="4" borderId="4" xfId="0" applyNumberFormat="1" applyFont="1" applyFill="1" applyBorder="1" applyAlignment="1">
      <alignment horizontal="center" vertical="center"/>
    </xf>
    <xf numFmtId="166" fontId="8" fillId="4" borderId="4" xfId="1" applyNumberFormat="1" applyFont="1" applyFill="1" applyBorder="1" applyAlignment="1">
      <alignment horizontal="center" vertical="center"/>
    </xf>
    <xf numFmtId="167" fontId="0" fillId="0" borderId="0" xfId="0" applyNumberFormat="1"/>
    <xf numFmtId="0" fontId="12" fillId="0" borderId="0" xfId="0" applyFont="1" applyAlignment="1">
      <alignment horizontal="center"/>
    </xf>
    <xf numFmtId="0" fontId="12" fillId="0" borderId="0" xfId="0" applyFont="1"/>
    <xf numFmtId="0" fontId="15" fillId="0" borderId="0" xfId="0" applyFont="1"/>
    <xf numFmtId="0" fontId="16" fillId="0" borderId="0" xfId="0" applyFont="1"/>
    <xf numFmtId="0" fontId="9" fillId="0" borderId="0" xfId="0" applyFont="1" applyAlignment="1">
      <alignment horizontal="left"/>
    </xf>
    <xf numFmtId="0" fontId="9" fillId="0" borderId="0" xfId="0" applyFont="1"/>
    <xf numFmtId="0" fontId="7" fillId="2" borderId="5" xfId="0" applyFont="1" applyFill="1" applyBorder="1" applyAlignment="1">
      <alignment horizontal="center" vertical="center"/>
    </xf>
    <xf numFmtId="167" fontId="13" fillId="5" borderId="4" xfId="0" applyNumberFormat="1" applyFont="1" applyFill="1" applyBorder="1" applyAlignment="1">
      <alignment horizontal="center"/>
    </xf>
    <xf numFmtId="167" fontId="10" fillId="4" borderId="4" xfId="2" applyNumberFormat="1" applyFont="1" applyFill="1" applyBorder="1" applyAlignment="1">
      <alignment horizontal="right"/>
    </xf>
    <xf numFmtId="167" fontId="8" fillId="0" borderId="5" xfId="2" applyNumberFormat="1" applyFont="1" applyFill="1" applyBorder="1" applyAlignment="1">
      <alignment horizontal="right"/>
    </xf>
    <xf numFmtId="166" fontId="8" fillId="3" borderId="5" xfId="0" applyNumberFormat="1" applyFont="1" applyFill="1" applyBorder="1" applyAlignment="1">
      <alignment horizontal="center" vertical="center"/>
    </xf>
    <xf numFmtId="167" fontId="10" fillId="4" borderId="5" xfId="2" applyNumberFormat="1" applyFont="1" applyFill="1" applyBorder="1" applyAlignment="1">
      <alignment horizontal="right"/>
    </xf>
    <xf numFmtId="0" fontId="0" fillId="0" borderId="4" xfId="0" applyBorder="1"/>
    <xf numFmtId="0" fontId="17" fillId="0" borderId="0" xfId="0" applyFont="1"/>
    <xf numFmtId="167" fontId="23" fillId="5" borderId="4" xfId="0" applyNumberFormat="1" applyFont="1" applyFill="1" applyBorder="1" applyAlignment="1">
      <alignment horizontal="center"/>
    </xf>
    <xf numFmtId="0" fontId="21" fillId="0" borderId="0" xfId="0" applyFont="1" applyAlignment="1">
      <alignment horizontal="left"/>
    </xf>
    <xf numFmtId="42" fontId="21" fillId="0" borderId="0" xfId="0" applyNumberFormat="1" applyFont="1"/>
    <xf numFmtId="0" fontId="22" fillId="6" borderId="0" xfId="0" applyFont="1" applyFill="1"/>
    <xf numFmtId="0" fontId="22" fillId="6" borderId="0" xfId="0" applyFont="1" applyFill="1" applyAlignment="1">
      <alignment horizontal="left"/>
    </xf>
    <xf numFmtId="42" fontId="22" fillId="6" borderId="0" xfId="0" applyNumberFormat="1" applyFont="1" applyFill="1"/>
    <xf numFmtId="166" fontId="24" fillId="2" borderId="4" xfId="1" applyNumberFormat="1" applyFont="1" applyFill="1" applyBorder="1" applyAlignment="1">
      <alignment horizontal="center" vertical="center"/>
    </xf>
    <xf numFmtId="167" fontId="24" fillId="0" borderId="1" xfId="2" applyNumberFormat="1" applyFont="1" applyFill="1" applyBorder="1" applyAlignment="1">
      <alignment horizontal="right"/>
    </xf>
    <xf numFmtId="166" fontId="8" fillId="3" borderId="9" xfId="0" applyNumberFormat="1" applyFont="1" applyFill="1" applyBorder="1" applyAlignment="1">
      <alignment horizontal="center" vertical="center"/>
    </xf>
    <xf numFmtId="166" fontId="24" fillId="2" borderId="11" xfId="1" applyNumberFormat="1" applyFont="1" applyFill="1" applyBorder="1" applyAlignment="1">
      <alignment horizontal="center" vertical="center"/>
    </xf>
    <xf numFmtId="0" fontId="0" fillId="0" borderId="0" xfId="0" applyAlignment="1">
      <alignment wrapText="1"/>
    </xf>
    <xf numFmtId="0" fontId="0" fillId="4" borderId="4" xfId="0" applyFill="1" applyBorder="1" applyAlignment="1">
      <alignment horizontal="center" vertical="center" wrapText="1"/>
    </xf>
    <xf numFmtId="0" fontId="0" fillId="7" borderId="4" xfId="0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4" borderId="4" xfId="0" applyFill="1" applyBorder="1" applyAlignment="1">
      <alignment horizontal="center" vertical="center"/>
    </xf>
    <xf numFmtId="1" fontId="0" fillId="7" borderId="4" xfId="0" applyNumberFormat="1" applyFill="1" applyBorder="1" applyAlignment="1">
      <alignment horizontal="center" vertical="center"/>
    </xf>
    <xf numFmtId="0" fontId="25" fillId="0" borderId="14" xfId="0" applyFont="1" applyBorder="1"/>
    <xf numFmtId="0" fontId="0" fillId="0" borderId="15" xfId="0" applyBorder="1"/>
    <xf numFmtId="0" fontId="0" fillId="0" borderId="16" xfId="0" applyBorder="1"/>
    <xf numFmtId="0" fontId="0" fillId="8" borderId="0" xfId="0" applyFill="1"/>
    <xf numFmtId="49" fontId="10" fillId="7" borderId="4" xfId="0" applyNumberFormat="1" applyFont="1" applyFill="1" applyBorder="1" applyAlignment="1">
      <alignment vertical="top"/>
    </xf>
    <xf numFmtId="166" fontId="24" fillId="7" borderId="4" xfId="1" applyNumberFormat="1" applyFont="1" applyFill="1" applyBorder="1" applyAlignment="1">
      <alignment horizontal="center" vertical="center"/>
    </xf>
    <xf numFmtId="167" fontId="24" fillId="7" borderId="1" xfId="2" applyNumberFormat="1" applyFont="1" applyFill="1" applyBorder="1" applyAlignment="1">
      <alignment horizontal="right"/>
    </xf>
    <xf numFmtId="0" fontId="5" fillId="7" borderId="5" xfId="0" applyFont="1" applyFill="1" applyBorder="1"/>
    <xf numFmtId="49" fontId="8" fillId="7" borderId="4" xfId="0" applyNumberFormat="1" applyFont="1" applyFill="1" applyBorder="1" applyAlignment="1">
      <alignment vertical="top"/>
    </xf>
    <xf numFmtId="0" fontId="0" fillId="0" borderId="0" xfId="0" applyAlignment="1">
      <alignment horizontal="center" wrapText="1"/>
    </xf>
    <xf numFmtId="0" fontId="5" fillId="0" borderId="0" xfId="0" applyFont="1" applyAlignment="1">
      <alignment horizontal="center" wrapText="1"/>
    </xf>
    <xf numFmtId="0" fontId="5" fillId="0" borderId="0" xfId="0" applyFont="1" applyAlignment="1">
      <alignment horizontal="center"/>
    </xf>
    <xf numFmtId="0" fontId="9" fillId="0" borderId="0" xfId="0" applyFont="1" applyAlignment="1">
      <alignment horizontal="center" wrapText="1"/>
    </xf>
    <xf numFmtId="0" fontId="9" fillId="0" borderId="0" xfId="0" applyFont="1" applyAlignment="1">
      <alignment horizontal="center"/>
    </xf>
    <xf numFmtId="0" fontId="5" fillId="0" borderId="4" xfId="0" applyFont="1" applyBorder="1" applyAlignment="1">
      <alignment horizontal="center" vertical="center" wrapText="1"/>
    </xf>
    <xf numFmtId="0" fontId="12" fillId="0" borderId="26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5" fillId="0" borderId="26" xfId="0" applyFont="1" applyBorder="1" applyAlignment="1">
      <alignment horizontal="left" vertical="center"/>
    </xf>
    <xf numFmtId="0" fontId="5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/>
    </xf>
    <xf numFmtId="0" fontId="0" fillId="0" borderId="22" xfId="0" applyBorder="1" applyAlignment="1">
      <alignment horizontal="left" vertical="center"/>
    </xf>
    <xf numFmtId="0" fontId="5" fillId="0" borderId="22" xfId="0" applyFont="1" applyBorder="1" applyAlignment="1">
      <alignment horizontal="left" vertical="center"/>
    </xf>
    <xf numFmtId="0" fontId="5" fillId="0" borderId="25" xfId="0" applyFont="1" applyBorder="1" applyAlignment="1">
      <alignment horizontal="center" vertical="center"/>
    </xf>
    <xf numFmtId="0" fontId="29" fillId="2" borderId="4" xfId="0" applyFont="1" applyFill="1" applyBorder="1" applyAlignment="1">
      <alignment horizontal="center" vertical="center"/>
    </xf>
    <xf numFmtId="0" fontId="30" fillId="10" borderId="25" xfId="0" applyFont="1" applyFill="1" applyBorder="1" applyAlignment="1">
      <alignment horizontal="center" vertical="center"/>
    </xf>
    <xf numFmtId="0" fontId="30" fillId="10" borderId="4" xfId="0" applyFont="1" applyFill="1" applyBorder="1" applyAlignment="1">
      <alignment horizontal="center" vertical="center" wrapText="1"/>
    </xf>
    <xf numFmtId="0" fontId="30" fillId="10" borderId="4" xfId="0" applyFont="1" applyFill="1" applyBorder="1" applyAlignment="1">
      <alignment horizontal="center" vertical="center"/>
    </xf>
    <xf numFmtId="3" fontId="30" fillId="10" borderId="4" xfId="0" applyNumberFormat="1" applyFont="1" applyFill="1" applyBorder="1" applyAlignment="1">
      <alignment horizontal="center" vertical="center"/>
    </xf>
    <xf numFmtId="166" fontId="30" fillId="10" borderId="9" xfId="0" applyNumberFormat="1" applyFont="1" applyFill="1" applyBorder="1" applyAlignment="1">
      <alignment horizontal="center" vertical="center"/>
    </xf>
    <xf numFmtId="0" fontId="31" fillId="0" borderId="25" xfId="0" applyFont="1" applyBorder="1" applyAlignment="1">
      <alignment horizontal="center" vertical="center"/>
    </xf>
    <xf numFmtId="49" fontId="31" fillId="0" borderId="4" xfId="0" applyNumberFormat="1" applyFont="1" applyBorder="1" applyAlignment="1">
      <alignment horizontal="left" vertical="center" wrapText="1"/>
    </xf>
    <xf numFmtId="166" fontId="32" fillId="0" borderId="4" xfId="1" applyNumberFormat="1" applyFont="1" applyFill="1" applyBorder="1" applyAlignment="1">
      <alignment horizontal="center" vertical="center"/>
    </xf>
    <xf numFmtId="0" fontId="9" fillId="0" borderId="0" xfId="0" applyFont="1" applyAlignment="1">
      <alignment vertical="center"/>
    </xf>
    <xf numFmtId="166" fontId="32" fillId="0" borderId="11" xfId="1" applyNumberFormat="1" applyFont="1" applyFill="1" applyBorder="1" applyAlignment="1">
      <alignment horizontal="center" vertical="center"/>
    </xf>
    <xf numFmtId="166" fontId="30" fillId="10" borderId="4" xfId="0" applyNumberFormat="1" applyFont="1" applyFill="1" applyBorder="1" applyAlignment="1">
      <alignment horizontal="center" vertical="center"/>
    </xf>
    <xf numFmtId="0" fontId="30" fillId="2" borderId="25" xfId="0" applyFont="1" applyFill="1" applyBorder="1" applyAlignment="1">
      <alignment horizontal="center" vertical="center"/>
    </xf>
    <xf numFmtId="166" fontId="32" fillId="2" borderId="4" xfId="1" applyNumberFormat="1" applyFont="1" applyFill="1" applyBorder="1" applyAlignment="1">
      <alignment horizontal="center" vertical="center"/>
    </xf>
    <xf numFmtId="166" fontId="32" fillId="2" borderId="11" xfId="1" applyNumberFormat="1" applyFont="1" applyFill="1" applyBorder="1" applyAlignment="1">
      <alignment horizontal="center" vertical="center"/>
    </xf>
    <xf numFmtId="0" fontId="34" fillId="2" borderId="25" xfId="0" applyFont="1" applyFill="1" applyBorder="1" applyAlignment="1">
      <alignment horizontal="center" vertical="center"/>
    </xf>
    <xf numFmtId="49" fontId="30" fillId="0" borderId="4" xfId="0" applyNumberFormat="1" applyFont="1" applyBorder="1" applyAlignment="1">
      <alignment horizontal="left" vertical="center" wrapText="1"/>
    </xf>
    <xf numFmtId="49" fontId="31" fillId="0" borderId="4" xfId="0" applyNumberFormat="1" applyFont="1" applyBorder="1" applyAlignment="1">
      <alignment horizontal="left" vertical="top" wrapText="1"/>
    </xf>
    <xf numFmtId="0" fontId="31" fillId="0" borderId="30" xfId="0" applyFont="1" applyBorder="1" applyAlignment="1">
      <alignment horizontal="center" vertical="center"/>
    </xf>
    <xf numFmtId="49" fontId="31" fillId="0" borderId="9" xfId="0" applyNumberFormat="1" applyFont="1" applyBorder="1" applyAlignment="1">
      <alignment horizontal="left" vertical="top" wrapText="1"/>
    </xf>
    <xf numFmtId="166" fontId="32" fillId="0" borderId="9" xfId="1" applyNumberFormat="1" applyFont="1" applyFill="1" applyBorder="1" applyAlignment="1">
      <alignment horizontal="center" vertical="center"/>
    </xf>
    <xf numFmtId="0" fontId="30" fillId="10" borderId="5" xfId="0" applyFont="1" applyFill="1" applyBorder="1" applyAlignment="1">
      <alignment horizontal="center" vertical="center" wrapText="1"/>
    </xf>
    <xf numFmtId="0" fontId="31" fillId="2" borderId="25" xfId="0" applyFont="1" applyFill="1" applyBorder="1" applyAlignment="1">
      <alignment horizontal="center" vertical="center"/>
    </xf>
    <xf numFmtId="49" fontId="31" fillId="2" borderId="4" xfId="0" applyNumberFormat="1" applyFont="1" applyFill="1" applyBorder="1" applyAlignment="1">
      <alignment horizontal="left" vertical="top" wrapText="1"/>
    </xf>
    <xf numFmtId="164" fontId="9" fillId="0" borderId="0" xfId="0" applyNumberFormat="1" applyFont="1" applyAlignment="1">
      <alignment vertical="center"/>
    </xf>
    <xf numFmtId="0" fontId="35" fillId="0" borderId="0" xfId="0" applyFont="1"/>
    <xf numFmtId="49" fontId="31" fillId="2" borderId="4" xfId="0" applyNumberFormat="1" applyFont="1" applyFill="1" applyBorder="1" applyAlignment="1">
      <alignment horizontal="left" vertical="center" wrapText="1"/>
    </xf>
    <xf numFmtId="166" fontId="32" fillId="2" borderId="4" xfId="1" applyNumberFormat="1" applyFont="1" applyFill="1" applyBorder="1" applyAlignment="1">
      <alignment horizontal="center" vertical="center" wrapText="1"/>
    </xf>
    <xf numFmtId="0" fontId="30" fillId="9" borderId="25" xfId="0" applyFont="1" applyFill="1" applyBorder="1" applyAlignment="1">
      <alignment horizontal="center" vertical="center"/>
    </xf>
    <xf numFmtId="0" fontId="30" fillId="9" borderId="4" xfId="0" applyFont="1" applyFill="1" applyBorder="1" applyAlignment="1">
      <alignment horizontal="center" vertical="center" wrapText="1"/>
    </xf>
    <xf numFmtId="0" fontId="30" fillId="9" borderId="4" xfId="0" applyFont="1" applyFill="1" applyBorder="1" applyAlignment="1">
      <alignment horizontal="center" vertical="center"/>
    </xf>
    <xf numFmtId="3" fontId="30" fillId="9" borderId="4" xfId="0" applyNumberFormat="1" applyFont="1" applyFill="1" applyBorder="1" applyAlignment="1">
      <alignment horizontal="center" vertical="center"/>
    </xf>
    <xf numFmtId="166" fontId="30" fillId="9" borderId="4" xfId="1" applyNumberFormat="1" applyFont="1" applyFill="1" applyBorder="1" applyAlignment="1">
      <alignment horizontal="center" vertical="center"/>
    </xf>
    <xf numFmtId="166" fontId="33" fillId="2" borderId="4" xfId="1" applyNumberFormat="1" applyFont="1" applyFill="1" applyBorder="1" applyAlignment="1">
      <alignment horizontal="center" vertical="center"/>
    </xf>
    <xf numFmtId="0" fontId="29" fillId="2" borderId="5" xfId="0" applyFont="1" applyFill="1" applyBorder="1" applyAlignment="1">
      <alignment horizontal="center" vertical="center"/>
    </xf>
    <xf numFmtId="9" fontId="9" fillId="0" borderId="0" xfId="0" applyNumberFormat="1" applyFont="1"/>
    <xf numFmtId="0" fontId="9" fillId="0" borderId="0" xfId="0" applyFont="1" applyAlignment="1">
      <alignment horizontal="center" vertical="center" wrapText="1"/>
    </xf>
    <xf numFmtId="49" fontId="31" fillId="0" borderId="5" xfId="0" applyNumberFormat="1" applyFont="1" applyBorder="1" applyAlignment="1">
      <alignment horizontal="left" vertical="top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9" xfId="0" applyFont="1" applyFill="1" applyBorder="1" applyAlignment="1">
      <alignment horizontal="center" vertical="center" wrapText="1"/>
    </xf>
    <xf numFmtId="0" fontId="26" fillId="11" borderId="1" xfId="0" applyFont="1" applyFill="1" applyBorder="1" applyAlignment="1">
      <alignment horizontal="center" vertical="center"/>
    </xf>
    <xf numFmtId="166" fontId="32" fillId="0" borderId="1" xfId="1" applyNumberFormat="1" applyFont="1" applyFill="1" applyBorder="1" applyAlignment="1">
      <alignment horizontal="center" vertical="center"/>
    </xf>
    <xf numFmtId="166" fontId="30" fillId="10" borderId="1" xfId="0" applyNumberFormat="1" applyFont="1" applyFill="1" applyBorder="1" applyAlignment="1">
      <alignment horizontal="center" vertical="center"/>
    </xf>
    <xf numFmtId="166" fontId="32" fillId="2" borderId="1" xfId="1" applyNumberFormat="1" applyFont="1" applyFill="1" applyBorder="1" applyAlignment="1">
      <alignment horizontal="center" vertical="center"/>
    </xf>
    <xf numFmtId="166" fontId="30" fillId="10" borderId="5" xfId="0" applyNumberFormat="1" applyFont="1" applyFill="1" applyBorder="1" applyAlignment="1">
      <alignment horizontal="center" vertical="center"/>
    </xf>
    <xf numFmtId="168" fontId="30" fillId="10" borderId="20" xfId="0" applyNumberFormat="1" applyFont="1" applyFill="1" applyBorder="1" applyAlignment="1">
      <alignment horizontal="center" vertical="center"/>
    </xf>
    <xf numFmtId="168" fontId="32" fillId="0" borderId="1" xfId="1" applyNumberFormat="1" applyFont="1" applyFill="1" applyBorder="1" applyAlignment="1">
      <alignment horizontal="center" vertical="center"/>
    </xf>
    <xf numFmtId="169" fontId="30" fillId="10" borderId="20" xfId="0" applyNumberFormat="1" applyFont="1" applyFill="1" applyBorder="1" applyAlignment="1">
      <alignment horizontal="center" vertical="center"/>
    </xf>
    <xf numFmtId="169" fontId="32" fillId="0" borderId="1" xfId="1" applyNumberFormat="1" applyFont="1" applyFill="1" applyBorder="1" applyAlignment="1">
      <alignment horizontal="center" vertical="center"/>
    </xf>
    <xf numFmtId="169" fontId="30" fillId="10" borderId="1" xfId="0" applyNumberFormat="1" applyFont="1" applyFill="1" applyBorder="1" applyAlignment="1">
      <alignment horizontal="center" vertical="center"/>
    </xf>
    <xf numFmtId="169" fontId="30" fillId="10" borderId="5" xfId="0" applyNumberFormat="1" applyFont="1" applyFill="1" applyBorder="1" applyAlignment="1">
      <alignment horizontal="center" vertical="center"/>
    </xf>
    <xf numFmtId="169" fontId="32" fillId="2" borderId="1" xfId="1" applyNumberFormat="1" applyFont="1" applyFill="1" applyBorder="1" applyAlignment="1">
      <alignment horizontal="center" vertical="center"/>
    </xf>
    <xf numFmtId="169" fontId="30" fillId="9" borderId="4" xfId="1" applyNumberFormat="1" applyFont="1" applyFill="1" applyBorder="1" applyAlignment="1">
      <alignment horizontal="center" vertical="center"/>
    </xf>
    <xf numFmtId="0" fontId="9" fillId="7" borderId="0" xfId="0" applyFont="1" applyFill="1" applyAlignment="1">
      <alignment vertical="center"/>
    </xf>
    <xf numFmtId="0" fontId="9" fillId="0" borderId="0" xfId="0" applyFont="1" applyAlignment="1">
      <alignment vertical="center" wrapText="1"/>
    </xf>
    <xf numFmtId="0" fontId="9" fillId="3" borderId="0" xfId="0" applyFont="1" applyFill="1" applyAlignment="1">
      <alignment vertical="center"/>
    </xf>
    <xf numFmtId="0" fontId="9" fillId="3" borderId="0" xfId="0" applyFont="1" applyFill="1"/>
    <xf numFmtId="0" fontId="9" fillId="0" borderId="0" xfId="0" applyFont="1" applyAlignment="1">
      <alignment horizontal="center" vertical="center"/>
    </xf>
    <xf numFmtId="0" fontId="30" fillId="0" borderId="25" xfId="0" applyFont="1" applyBorder="1" applyAlignment="1">
      <alignment horizontal="center" vertical="center"/>
    </xf>
    <xf numFmtId="49" fontId="31" fillId="0" borderId="0" xfId="0" applyNumberFormat="1" applyFont="1" applyAlignment="1">
      <alignment horizontal="left" vertical="top" wrapText="1"/>
    </xf>
    <xf numFmtId="49" fontId="31" fillId="0" borderId="13" xfId="0" applyNumberFormat="1" applyFont="1" applyBorder="1" applyAlignment="1">
      <alignment horizontal="left" vertical="top" wrapText="1"/>
    </xf>
    <xf numFmtId="0" fontId="38" fillId="0" borderId="4" xfId="0" applyFont="1" applyBorder="1" applyAlignment="1">
      <alignment horizontal="center" vertical="center"/>
    </xf>
    <xf numFmtId="49" fontId="31" fillId="0" borderId="4" xfId="0" quotePrefix="1" applyNumberFormat="1" applyFont="1" applyBorder="1" applyAlignment="1">
      <alignment horizontal="left" vertical="center" wrapText="1"/>
    </xf>
    <xf numFmtId="49" fontId="37" fillId="0" borderId="4" xfId="0" applyNumberFormat="1" applyFont="1" applyBorder="1" applyAlignment="1">
      <alignment horizontal="left" vertical="center" wrapText="1"/>
    </xf>
    <xf numFmtId="0" fontId="39" fillId="0" borderId="4" xfId="0" applyFont="1" applyBorder="1" applyAlignment="1">
      <alignment horizontal="center" vertical="center"/>
    </xf>
    <xf numFmtId="0" fontId="30" fillId="0" borderId="4" xfId="0" applyFont="1" applyBorder="1" applyAlignment="1">
      <alignment horizontal="center" vertical="center" wrapText="1"/>
    </xf>
    <xf numFmtId="0" fontId="30" fillId="0" borderId="4" xfId="0" applyFont="1" applyBorder="1" applyAlignment="1">
      <alignment horizontal="center" vertical="center"/>
    </xf>
    <xf numFmtId="3" fontId="30" fillId="0" borderId="4" xfId="0" applyNumberFormat="1" applyFont="1" applyBorder="1" applyAlignment="1">
      <alignment horizontal="center" vertical="center"/>
    </xf>
    <xf numFmtId="169" fontId="30" fillId="0" borderId="20" xfId="0" applyNumberFormat="1" applyFont="1" applyBorder="1" applyAlignment="1">
      <alignment horizontal="center" vertical="center"/>
    </xf>
    <xf numFmtId="0" fontId="31" fillId="0" borderId="4" xfId="0" applyFont="1" applyBorder="1" applyAlignment="1">
      <alignment horizontal="left" vertical="center" wrapText="1"/>
    </xf>
    <xf numFmtId="169" fontId="30" fillId="0" borderId="1" xfId="0" applyNumberFormat="1" applyFont="1" applyBorder="1" applyAlignment="1">
      <alignment horizontal="center" vertical="center"/>
    </xf>
    <xf numFmtId="0" fontId="38" fillId="0" borderId="1" xfId="0" applyFont="1" applyBorder="1" applyAlignment="1">
      <alignment horizontal="center" vertical="center"/>
    </xf>
    <xf numFmtId="169" fontId="30" fillId="0" borderId="5" xfId="0" applyNumberFormat="1" applyFont="1" applyBorder="1" applyAlignment="1">
      <alignment horizontal="center" vertical="center"/>
    </xf>
    <xf numFmtId="0" fontId="20" fillId="0" borderId="27" xfId="0" applyFont="1" applyBorder="1" applyAlignment="1">
      <alignment horizontal="left" vertical="top" wrapText="1"/>
    </xf>
    <xf numFmtId="0" fontId="20" fillId="0" borderId="2" xfId="0" applyFont="1" applyBorder="1" applyAlignment="1">
      <alignment horizontal="left" vertical="top" wrapText="1"/>
    </xf>
    <xf numFmtId="0" fontId="20" fillId="0" borderId="17" xfId="0" applyFont="1" applyBorder="1" applyAlignment="1">
      <alignment horizontal="left" vertical="top" wrapText="1"/>
    </xf>
    <xf numFmtId="0" fontId="20" fillId="0" borderId="29" xfId="0" applyFont="1" applyBorder="1" applyAlignment="1">
      <alignment horizontal="left" vertical="top" wrapText="1"/>
    </xf>
    <xf numFmtId="0" fontId="20" fillId="0" borderId="22" xfId="0" applyFont="1" applyBorder="1" applyAlignment="1">
      <alignment horizontal="left" vertical="top" wrapText="1"/>
    </xf>
    <xf numFmtId="0" fontId="20" fillId="0" borderId="23" xfId="0" applyFont="1" applyBorder="1" applyAlignment="1">
      <alignment horizontal="left" vertical="top" wrapText="1"/>
    </xf>
    <xf numFmtId="0" fontId="20" fillId="0" borderId="1" xfId="0" applyFont="1" applyBorder="1" applyAlignment="1">
      <alignment horizontal="left" vertical="top" wrapText="1"/>
    </xf>
    <xf numFmtId="0" fontId="20" fillId="0" borderId="21" xfId="0" applyFont="1" applyBorder="1" applyAlignment="1">
      <alignment horizontal="left" vertical="top" wrapText="1"/>
    </xf>
    <xf numFmtId="0" fontId="9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19" fillId="0" borderId="27" xfId="0" applyFont="1" applyBorder="1" applyAlignment="1">
      <alignment horizontal="left" vertical="top" wrapText="1"/>
    </xf>
    <xf numFmtId="0" fontId="19" fillId="0" borderId="2" xfId="0" applyFont="1" applyBorder="1" applyAlignment="1">
      <alignment horizontal="left" vertical="top" wrapText="1"/>
    </xf>
    <xf numFmtId="0" fontId="19" fillId="0" borderId="28" xfId="0" applyFont="1" applyBorder="1" applyAlignment="1">
      <alignment horizontal="left" vertical="top" wrapText="1"/>
    </xf>
    <xf numFmtId="0" fontId="19" fillId="0" borderId="3" xfId="0" applyFont="1" applyBorder="1" applyAlignment="1">
      <alignment horizontal="left" vertical="top" wrapText="1"/>
    </xf>
    <xf numFmtId="0" fontId="20" fillId="0" borderId="4" xfId="0" applyFont="1" applyBorder="1" applyAlignment="1">
      <alignment horizontal="left" vertical="top" wrapText="1"/>
    </xf>
    <xf numFmtId="0" fontId="19" fillId="0" borderId="1" xfId="0" applyFont="1" applyBorder="1" applyAlignment="1">
      <alignment horizontal="left" vertical="top" wrapText="1"/>
    </xf>
    <xf numFmtId="0" fontId="19" fillId="0" borderId="18" xfId="0" applyFont="1" applyBorder="1" applyAlignment="1">
      <alignment horizontal="left" vertical="top" wrapText="1"/>
    </xf>
    <xf numFmtId="0" fontId="35" fillId="0" borderId="32" xfId="0" applyFont="1" applyBorder="1" applyAlignment="1">
      <alignment horizontal="center" vertical="center"/>
    </xf>
    <xf numFmtId="0" fontId="35" fillId="0" borderId="33" xfId="0" applyFont="1" applyBorder="1" applyAlignment="1">
      <alignment horizontal="center" vertical="center"/>
    </xf>
    <xf numFmtId="0" fontId="35" fillId="0" borderId="26" xfId="0" applyFont="1" applyBorder="1" applyAlignment="1">
      <alignment horizontal="center" vertical="center"/>
    </xf>
    <xf numFmtId="0" fontId="35" fillId="0" borderId="34" xfId="0" applyFont="1" applyBorder="1" applyAlignment="1">
      <alignment horizontal="center" vertical="center"/>
    </xf>
    <xf numFmtId="0" fontId="35" fillId="0" borderId="28" xfId="0" applyFont="1" applyBorder="1" applyAlignment="1">
      <alignment horizontal="center" vertical="center"/>
    </xf>
    <xf numFmtId="0" fontId="35" fillId="0" borderId="19" xfId="0" applyFont="1" applyBorder="1" applyAlignment="1">
      <alignment horizontal="center" vertical="center"/>
    </xf>
    <xf numFmtId="0" fontId="28" fillId="0" borderId="31" xfId="0" applyFont="1" applyBorder="1" applyAlignment="1">
      <alignment horizontal="center" vertical="center" wrapText="1"/>
    </xf>
    <xf numFmtId="0" fontId="28" fillId="0" borderId="24" xfId="0" applyFont="1" applyBorder="1" applyAlignment="1">
      <alignment horizontal="center" vertical="center" wrapText="1"/>
    </xf>
    <xf numFmtId="0" fontId="28" fillId="0" borderId="20" xfId="0" applyFont="1" applyBorder="1" applyAlignment="1">
      <alignment horizontal="center" vertical="center" wrapText="1"/>
    </xf>
    <xf numFmtId="0" fontId="28" fillId="0" borderId="0" xfId="0" applyFont="1" applyAlignment="1">
      <alignment horizontal="center" vertical="center" wrapText="1"/>
    </xf>
    <xf numFmtId="0" fontId="28" fillId="0" borderId="18" xfId="0" applyFont="1" applyBorder="1" applyAlignment="1">
      <alignment horizontal="center" vertical="center" wrapText="1"/>
    </xf>
    <xf numFmtId="0" fontId="28" fillId="0" borderId="3" xfId="0" applyFont="1" applyBorder="1" applyAlignment="1">
      <alignment horizontal="center" vertical="center" wrapText="1"/>
    </xf>
    <xf numFmtId="0" fontId="26" fillId="11" borderId="4" xfId="0" applyFont="1" applyFill="1" applyBorder="1" applyAlignment="1">
      <alignment horizontal="center" vertical="center"/>
    </xf>
    <xf numFmtId="0" fontId="26" fillId="11" borderId="6" xfId="0" applyFont="1" applyFill="1" applyBorder="1" applyAlignment="1">
      <alignment horizontal="center" vertical="center"/>
    </xf>
    <xf numFmtId="0" fontId="29" fillId="2" borderId="25" xfId="0" applyFont="1" applyFill="1" applyBorder="1" applyAlignment="1">
      <alignment horizontal="center" vertical="center"/>
    </xf>
    <xf numFmtId="49" fontId="29" fillId="2" borderId="4" xfId="0" applyNumberFormat="1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/>
    </xf>
    <xf numFmtId="0" fontId="29" fillId="2" borderId="9" xfId="0" applyFont="1" applyFill="1" applyBorder="1" applyAlignment="1">
      <alignment horizontal="center" vertical="center"/>
    </xf>
    <xf numFmtId="0" fontId="29" fillId="2" borderId="5" xfId="0" applyFont="1" applyFill="1" applyBorder="1" applyAlignment="1">
      <alignment horizontal="center" vertical="center"/>
    </xf>
    <xf numFmtId="0" fontId="29" fillId="2" borderId="13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9" xfId="0" applyFont="1" applyFill="1" applyBorder="1" applyAlignment="1">
      <alignment horizontal="center" vertical="center" wrapText="1"/>
    </xf>
    <xf numFmtId="0" fontId="14" fillId="0" borderId="5" xfId="0" applyFont="1" applyBorder="1" applyAlignment="1">
      <alignment horizontal="left"/>
    </xf>
    <xf numFmtId="0" fontId="14" fillId="0" borderId="13" xfId="0" applyFont="1" applyBorder="1" applyAlignment="1">
      <alignment horizontal="left"/>
    </xf>
    <xf numFmtId="0" fontId="14" fillId="0" borderId="7" xfId="0" applyFont="1" applyBorder="1" applyAlignment="1">
      <alignment horizontal="left"/>
    </xf>
    <xf numFmtId="0" fontId="0" fillId="0" borderId="6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2" fillId="0" borderId="6" xfId="0" applyFont="1" applyBorder="1" applyAlignment="1">
      <alignment horizontal="center" wrapText="1"/>
    </xf>
    <xf numFmtId="0" fontId="2" fillId="0" borderId="8" xfId="0" applyFont="1" applyBorder="1" applyAlignment="1">
      <alignment horizontal="center" wrapText="1"/>
    </xf>
    <xf numFmtId="0" fontId="2" fillId="0" borderId="9" xfId="0" applyFont="1" applyBorder="1" applyAlignment="1">
      <alignment horizont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49" fontId="7" fillId="2" borderId="4" xfId="0" applyNumberFormat="1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 wrapText="1"/>
    </xf>
    <xf numFmtId="0" fontId="7" fillId="2" borderId="9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0" fillId="3" borderId="0" xfId="0" applyFill="1" applyAlignment="1">
      <alignment horizontal="left" vertical="center" wrapText="1"/>
    </xf>
  </cellXfs>
  <cellStyles count="3">
    <cellStyle name="Comma" xfId="1" builtinId="3"/>
    <cellStyle name="Milliers 2" xfId="2" xr:uid="{00000000-0005-0000-0000-000001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externalLink" Target="externalLinks/externalLink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://www.wfp.org/food-security" TargetMode="Externa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://www.wfp.org/food-security" TargetMode="Externa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59531</xdr:rowOff>
    </xdr:from>
    <xdr:to>
      <xdr:col>1</xdr:col>
      <xdr:colOff>516453</xdr:colOff>
      <xdr:row>2</xdr:row>
      <xdr:rowOff>326152</xdr:rowOff>
    </xdr:to>
    <xdr:pic>
      <xdr:nvPicPr>
        <xdr:cNvPr id="3" name="Image 3" descr="wfp21044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4B45FB9-1361-4065-862F-25532244361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" y="59531"/>
          <a:ext cx="783152" cy="84764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59531</xdr:rowOff>
    </xdr:from>
    <xdr:to>
      <xdr:col>1</xdr:col>
      <xdr:colOff>516453</xdr:colOff>
      <xdr:row>2</xdr:row>
      <xdr:rowOff>326152</xdr:rowOff>
    </xdr:to>
    <xdr:pic>
      <xdr:nvPicPr>
        <xdr:cNvPr id="2" name="Image 3" descr="wfp21044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A4FC2EC-7D84-4821-ACC2-C01D6D3F1797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" y="59531"/>
          <a:ext cx="783152" cy="84764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57150</xdr:colOff>
      <xdr:row>0</xdr:row>
      <xdr:rowOff>85724</xdr:rowOff>
    </xdr:from>
    <xdr:to>
      <xdr:col>2</xdr:col>
      <xdr:colOff>0</xdr:colOff>
      <xdr:row>2</xdr:row>
      <xdr:rowOff>219074</xdr:rowOff>
    </xdr:to>
    <xdr:pic>
      <xdr:nvPicPr>
        <xdr:cNvPr id="3" name="Picture 11" descr="WFPLOGO_fre_H_B_500T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-20000" contrast="-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85724"/>
          <a:ext cx="1609725" cy="714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microsoft.com/office/2019/04/relationships/externalLinkLongPath" Target="/Users/souleika.abdillahi/AppData/Local/Microsoft/Windows/Temporary%20Internet%20Files/Content.Outlook/3AD5LS22/Copy%20of%20Budget%20pr&#233;visionnel%20AGVSAN%202012%20-%20Simulation%202%20sc&#233;narii%20version%20partag&#233;e%20HQ-ODD_VAM%20(003).xls?16E9595C" TargetMode="External"/><Relationship Id="rId1" Type="http://schemas.openxmlformats.org/officeDocument/2006/relationships/externalLinkPath" Target="file:///\\16E9595C\Copy%20of%20Budget%20pr&#233;visionnel%20AGVSAN%202012%20-%20Simulation%202%20sc&#233;narii%20version%20partag&#233;e%20HQ-ODD_VAM%20(003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udget 12000 HH"/>
      <sheetName val="Budget 8000 HH"/>
    </sheetNames>
    <sheetDataSet>
      <sheetData sheetId="0">
        <row r="92">
          <cell r="D92">
            <v>150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B067FA-0948-4B94-B594-3B860D56CA32}">
  <dimension ref="A1:CXN85"/>
  <sheetViews>
    <sheetView view="pageBreakPreview" topLeftCell="A34" zoomScale="96" zoomScaleNormal="128" zoomScaleSheetLayoutView="96" workbookViewId="0">
      <selection activeCell="H66" sqref="H66"/>
    </sheetView>
  </sheetViews>
  <sheetFormatPr defaultColWidth="9.140625" defaultRowHeight="14.45"/>
  <cols>
    <col min="1" max="1" width="3.85546875" customWidth="1"/>
    <col min="2" max="2" width="56.42578125" style="81" customWidth="1"/>
    <col min="3" max="3" width="12.5703125" style="69" customWidth="1"/>
    <col min="4" max="4" width="13.85546875" style="69" customWidth="1"/>
    <col min="5" max="5" width="8.42578125" style="69" customWidth="1"/>
    <col min="6" max="6" width="10.140625" style="69" customWidth="1"/>
    <col min="7" max="7" width="16.42578125" style="69" customWidth="1"/>
    <col min="8" max="8" width="17.140625" style="69" customWidth="1"/>
    <col min="9" max="251" width="11.42578125" customWidth="1"/>
    <col min="252" max="252" width="3.85546875" customWidth="1"/>
    <col min="253" max="253" width="37.85546875" customWidth="1"/>
    <col min="254" max="254" width="8.85546875" customWidth="1"/>
    <col min="255" max="255" width="12.5703125" customWidth="1"/>
    <col min="256" max="257" width="8.42578125" customWidth="1"/>
    <col min="258" max="258" width="12.85546875" bestFit="1" customWidth="1"/>
    <col min="259" max="259" width="11.42578125" customWidth="1"/>
    <col min="260" max="261" width="9.140625" customWidth="1"/>
    <col min="262" max="262" width="20.85546875" customWidth="1"/>
    <col min="263" max="263" width="11.85546875" customWidth="1"/>
    <col min="264" max="507" width="11.42578125" customWidth="1"/>
    <col min="508" max="508" width="3.85546875" customWidth="1"/>
    <col min="509" max="509" width="37.85546875" customWidth="1"/>
    <col min="510" max="510" width="8.85546875" customWidth="1"/>
    <col min="511" max="511" width="12.5703125" customWidth="1"/>
    <col min="512" max="513" width="8.42578125" customWidth="1"/>
    <col min="514" max="514" width="12.85546875" bestFit="1" customWidth="1"/>
    <col min="515" max="515" width="11.42578125" customWidth="1"/>
    <col min="516" max="517" width="9.140625" customWidth="1"/>
    <col min="518" max="518" width="20.85546875" customWidth="1"/>
    <col min="519" max="519" width="11.85546875" customWidth="1"/>
    <col min="520" max="763" width="11.42578125" customWidth="1"/>
    <col min="764" max="764" width="3.85546875" customWidth="1"/>
    <col min="765" max="765" width="37.85546875" customWidth="1"/>
    <col min="766" max="766" width="8.85546875" customWidth="1"/>
    <col min="767" max="767" width="12.5703125" customWidth="1"/>
    <col min="768" max="769" width="8.42578125" customWidth="1"/>
    <col min="770" max="770" width="12.85546875" bestFit="1" customWidth="1"/>
    <col min="771" max="771" width="11.42578125" customWidth="1"/>
    <col min="772" max="773" width="9.140625" customWidth="1"/>
    <col min="774" max="774" width="20.85546875" customWidth="1"/>
    <col min="775" max="775" width="11.85546875" customWidth="1"/>
    <col min="776" max="1019" width="11.42578125" customWidth="1"/>
    <col min="1020" max="1020" width="3.85546875" customWidth="1"/>
    <col min="1021" max="1021" width="37.85546875" customWidth="1"/>
    <col min="1022" max="1022" width="8.85546875" customWidth="1"/>
    <col min="1023" max="1023" width="12.5703125" customWidth="1"/>
    <col min="1024" max="1025" width="8.42578125" customWidth="1"/>
    <col min="1026" max="1026" width="12.85546875" bestFit="1" customWidth="1"/>
    <col min="1027" max="1027" width="11.42578125" customWidth="1"/>
    <col min="1028" max="1029" width="9.140625" customWidth="1"/>
    <col min="1030" max="1030" width="20.85546875" customWidth="1"/>
    <col min="1031" max="1031" width="11.85546875" customWidth="1"/>
    <col min="1032" max="1275" width="11.42578125" customWidth="1"/>
    <col min="1276" max="1276" width="3.85546875" customWidth="1"/>
    <col min="1277" max="1277" width="37.85546875" customWidth="1"/>
    <col min="1278" max="1278" width="8.85546875" customWidth="1"/>
    <col min="1279" max="1279" width="12.5703125" customWidth="1"/>
    <col min="1280" max="1281" width="8.42578125" customWidth="1"/>
    <col min="1282" max="1282" width="12.85546875" bestFit="1" customWidth="1"/>
    <col min="1283" max="1283" width="11.42578125" customWidth="1"/>
    <col min="1284" max="1285" width="9.140625" customWidth="1"/>
    <col min="1286" max="1286" width="20.85546875" customWidth="1"/>
    <col min="1287" max="1287" width="11.85546875" customWidth="1"/>
    <col min="1288" max="1531" width="11.42578125" customWidth="1"/>
    <col min="1532" max="1532" width="3.85546875" customWidth="1"/>
    <col min="1533" max="1533" width="37.85546875" customWidth="1"/>
    <col min="1534" max="1534" width="8.85546875" customWidth="1"/>
    <col min="1535" max="1535" width="12.5703125" customWidth="1"/>
    <col min="1536" max="1537" width="8.42578125" customWidth="1"/>
    <col min="1538" max="1538" width="12.85546875" bestFit="1" customWidth="1"/>
    <col min="1539" max="1539" width="11.42578125" customWidth="1"/>
    <col min="1540" max="1541" width="9.140625" customWidth="1"/>
    <col min="1542" max="1542" width="20.85546875" customWidth="1"/>
    <col min="1543" max="1543" width="11.85546875" customWidth="1"/>
    <col min="1544" max="1787" width="11.42578125" customWidth="1"/>
    <col min="1788" max="1788" width="3.85546875" customWidth="1"/>
    <col min="1789" max="1789" width="37.85546875" customWidth="1"/>
    <col min="1790" max="1790" width="8.85546875" customWidth="1"/>
    <col min="1791" max="1791" width="12.5703125" customWidth="1"/>
    <col min="1792" max="1793" width="8.42578125" customWidth="1"/>
    <col min="1794" max="1794" width="12.85546875" bestFit="1" customWidth="1"/>
    <col min="1795" max="1795" width="11.42578125" customWidth="1"/>
    <col min="1796" max="1797" width="9.140625" customWidth="1"/>
    <col min="1798" max="1798" width="20.85546875" customWidth="1"/>
    <col min="1799" max="1799" width="11.85546875" customWidth="1"/>
    <col min="1800" max="2043" width="11.42578125" customWidth="1"/>
    <col min="2044" max="2044" width="3.85546875" customWidth="1"/>
    <col min="2045" max="2045" width="37.85546875" customWidth="1"/>
    <col min="2046" max="2046" width="8.85546875" customWidth="1"/>
    <col min="2047" max="2047" width="12.5703125" customWidth="1"/>
    <col min="2048" max="2049" width="8.42578125" customWidth="1"/>
    <col min="2050" max="2050" width="12.85546875" bestFit="1" customWidth="1"/>
    <col min="2051" max="2051" width="11.42578125" customWidth="1"/>
    <col min="2052" max="2053" width="9.140625" customWidth="1"/>
    <col min="2054" max="2054" width="20.85546875" customWidth="1"/>
    <col min="2055" max="2055" width="11.85546875" customWidth="1"/>
    <col min="2056" max="2299" width="11.42578125" customWidth="1"/>
    <col min="2300" max="2300" width="3.85546875" customWidth="1"/>
    <col min="2301" max="2301" width="37.85546875" customWidth="1"/>
    <col min="2302" max="2302" width="8.85546875" customWidth="1"/>
    <col min="2303" max="2303" width="12.5703125" customWidth="1"/>
    <col min="2304" max="2305" width="8.42578125" customWidth="1"/>
    <col min="2306" max="2306" width="12.85546875" bestFit="1" customWidth="1"/>
    <col min="2307" max="2307" width="11.42578125" customWidth="1"/>
    <col min="2308" max="2309" width="9.140625" customWidth="1"/>
    <col min="2310" max="2310" width="20.85546875" customWidth="1"/>
    <col min="2311" max="2311" width="11.85546875" customWidth="1"/>
    <col min="2312" max="2555" width="11.42578125" customWidth="1"/>
    <col min="2556" max="2556" width="3.85546875" customWidth="1"/>
    <col min="2557" max="2557" width="37.85546875" customWidth="1"/>
    <col min="2558" max="2558" width="8.85546875" customWidth="1"/>
    <col min="2559" max="2559" width="12.5703125" customWidth="1"/>
    <col min="2560" max="2561" width="8.42578125" customWidth="1"/>
    <col min="2562" max="2562" width="12.85546875" bestFit="1" customWidth="1"/>
    <col min="2563" max="2563" width="11.42578125" customWidth="1"/>
    <col min="2564" max="2565" width="9.140625" customWidth="1"/>
    <col min="2566" max="2566" width="20.85546875" customWidth="1"/>
    <col min="2567" max="2567" width="11.85546875" customWidth="1"/>
    <col min="2568" max="2811" width="11.42578125" customWidth="1"/>
    <col min="2812" max="2812" width="3.85546875" customWidth="1"/>
    <col min="2813" max="2813" width="37.85546875" customWidth="1"/>
    <col min="2814" max="2814" width="8.85546875" customWidth="1"/>
    <col min="2815" max="2815" width="12.5703125" customWidth="1"/>
    <col min="2816" max="2817" width="8.42578125" customWidth="1"/>
    <col min="2818" max="2818" width="12.85546875" bestFit="1" customWidth="1"/>
    <col min="2819" max="2819" width="11.42578125" customWidth="1"/>
    <col min="2820" max="2821" width="9.140625" customWidth="1"/>
    <col min="2822" max="2822" width="20.85546875" customWidth="1"/>
    <col min="2823" max="2823" width="11.85546875" customWidth="1"/>
    <col min="2824" max="3067" width="11.42578125" customWidth="1"/>
    <col min="3068" max="3068" width="3.85546875" customWidth="1"/>
    <col min="3069" max="3069" width="37.85546875" customWidth="1"/>
    <col min="3070" max="3070" width="8.85546875" customWidth="1"/>
    <col min="3071" max="3071" width="12.5703125" customWidth="1"/>
    <col min="3072" max="3073" width="8.42578125" customWidth="1"/>
    <col min="3074" max="3074" width="12.85546875" bestFit="1" customWidth="1"/>
    <col min="3075" max="3075" width="11.42578125" customWidth="1"/>
    <col min="3076" max="3077" width="9.140625" customWidth="1"/>
    <col min="3078" max="3078" width="20.85546875" customWidth="1"/>
    <col min="3079" max="3079" width="11.85546875" customWidth="1"/>
    <col min="3080" max="3323" width="11.42578125" customWidth="1"/>
    <col min="3324" max="3324" width="3.85546875" customWidth="1"/>
    <col min="3325" max="3325" width="37.85546875" customWidth="1"/>
    <col min="3326" max="3326" width="8.85546875" customWidth="1"/>
    <col min="3327" max="3327" width="12.5703125" customWidth="1"/>
    <col min="3328" max="3329" width="8.42578125" customWidth="1"/>
    <col min="3330" max="3330" width="12.85546875" bestFit="1" customWidth="1"/>
    <col min="3331" max="3331" width="11.42578125" customWidth="1"/>
    <col min="3332" max="3333" width="9.140625" customWidth="1"/>
    <col min="3334" max="3334" width="20.85546875" customWidth="1"/>
    <col min="3335" max="3335" width="11.85546875" customWidth="1"/>
    <col min="3336" max="3579" width="11.42578125" customWidth="1"/>
    <col min="3580" max="3580" width="3.85546875" customWidth="1"/>
    <col min="3581" max="3581" width="37.85546875" customWidth="1"/>
    <col min="3582" max="3582" width="8.85546875" customWidth="1"/>
    <col min="3583" max="3583" width="12.5703125" customWidth="1"/>
    <col min="3584" max="3585" width="8.42578125" customWidth="1"/>
    <col min="3586" max="3586" width="12.85546875" bestFit="1" customWidth="1"/>
    <col min="3587" max="3587" width="11.42578125" customWidth="1"/>
    <col min="3588" max="3589" width="9.140625" customWidth="1"/>
    <col min="3590" max="3590" width="20.85546875" customWidth="1"/>
    <col min="3591" max="3591" width="11.85546875" customWidth="1"/>
    <col min="3592" max="3835" width="11.42578125" customWidth="1"/>
    <col min="3836" max="3836" width="3.85546875" customWidth="1"/>
    <col min="3837" max="3837" width="37.85546875" customWidth="1"/>
    <col min="3838" max="3838" width="8.85546875" customWidth="1"/>
    <col min="3839" max="3839" width="12.5703125" customWidth="1"/>
    <col min="3840" max="3841" width="8.42578125" customWidth="1"/>
    <col min="3842" max="3842" width="12.85546875" bestFit="1" customWidth="1"/>
    <col min="3843" max="3843" width="11.42578125" customWidth="1"/>
    <col min="3844" max="3845" width="9.140625" customWidth="1"/>
    <col min="3846" max="3846" width="20.85546875" customWidth="1"/>
    <col min="3847" max="3847" width="11.85546875" customWidth="1"/>
    <col min="3848" max="4091" width="11.42578125" customWidth="1"/>
    <col min="4092" max="4092" width="3.85546875" customWidth="1"/>
    <col min="4093" max="4093" width="37.85546875" customWidth="1"/>
    <col min="4094" max="4094" width="8.85546875" customWidth="1"/>
    <col min="4095" max="4095" width="12.5703125" customWidth="1"/>
    <col min="4096" max="4097" width="8.42578125" customWidth="1"/>
    <col min="4098" max="4098" width="12.85546875" bestFit="1" customWidth="1"/>
    <col min="4099" max="4099" width="11.42578125" customWidth="1"/>
    <col min="4100" max="4101" width="9.140625" customWidth="1"/>
    <col min="4102" max="4102" width="20.85546875" customWidth="1"/>
    <col min="4103" max="4103" width="11.85546875" customWidth="1"/>
    <col min="4104" max="4347" width="11.42578125" customWidth="1"/>
    <col min="4348" max="4348" width="3.85546875" customWidth="1"/>
    <col min="4349" max="4349" width="37.85546875" customWidth="1"/>
    <col min="4350" max="4350" width="8.85546875" customWidth="1"/>
    <col min="4351" max="4351" width="12.5703125" customWidth="1"/>
    <col min="4352" max="4353" width="8.42578125" customWidth="1"/>
    <col min="4354" max="4354" width="12.85546875" bestFit="1" customWidth="1"/>
    <col min="4355" max="4355" width="11.42578125" customWidth="1"/>
    <col min="4356" max="4357" width="9.140625" customWidth="1"/>
    <col min="4358" max="4358" width="20.85546875" customWidth="1"/>
    <col min="4359" max="4359" width="11.85546875" customWidth="1"/>
    <col min="4360" max="4603" width="11.42578125" customWidth="1"/>
    <col min="4604" max="4604" width="3.85546875" customWidth="1"/>
    <col min="4605" max="4605" width="37.85546875" customWidth="1"/>
    <col min="4606" max="4606" width="8.85546875" customWidth="1"/>
    <col min="4607" max="4607" width="12.5703125" customWidth="1"/>
    <col min="4608" max="4609" width="8.42578125" customWidth="1"/>
    <col min="4610" max="4610" width="12.85546875" bestFit="1" customWidth="1"/>
    <col min="4611" max="4611" width="11.42578125" customWidth="1"/>
    <col min="4612" max="4613" width="9.140625" customWidth="1"/>
    <col min="4614" max="4614" width="20.85546875" customWidth="1"/>
    <col min="4615" max="4615" width="11.85546875" customWidth="1"/>
    <col min="4616" max="4859" width="11.42578125" customWidth="1"/>
    <col min="4860" max="4860" width="3.85546875" customWidth="1"/>
    <col min="4861" max="4861" width="37.85546875" customWidth="1"/>
    <col min="4862" max="4862" width="8.85546875" customWidth="1"/>
    <col min="4863" max="4863" width="12.5703125" customWidth="1"/>
    <col min="4864" max="4865" width="8.42578125" customWidth="1"/>
    <col min="4866" max="4866" width="12.85546875" bestFit="1" customWidth="1"/>
    <col min="4867" max="4867" width="11.42578125" customWidth="1"/>
    <col min="4868" max="4869" width="9.140625" customWidth="1"/>
    <col min="4870" max="4870" width="20.85546875" customWidth="1"/>
    <col min="4871" max="4871" width="11.85546875" customWidth="1"/>
    <col min="4872" max="5115" width="11.42578125" customWidth="1"/>
    <col min="5116" max="5116" width="3.85546875" customWidth="1"/>
    <col min="5117" max="5117" width="37.85546875" customWidth="1"/>
    <col min="5118" max="5118" width="8.85546875" customWidth="1"/>
    <col min="5119" max="5119" width="12.5703125" customWidth="1"/>
    <col min="5120" max="5121" width="8.42578125" customWidth="1"/>
    <col min="5122" max="5122" width="12.85546875" bestFit="1" customWidth="1"/>
    <col min="5123" max="5123" width="11.42578125" customWidth="1"/>
    <col min="5124" max="5125" width="9.140625" customWidth="1"/>
    <col min="5126" max="5126" width="20.85546875" customWidth="1"/>
    <col min="5127" max="5127" width="11.85546875" customWidth="1"/>
    <col min="5128" max="5371" width="11.42578125" customWidth="1"/>
    <col min="5372" max="5372" width="3.85546875" customWidth="1"/>
    <col min="5373" max="5373" width="37.85546875" customWidth="1"/>
    <col min="5374" max="5374" width="8.85546875" customWidth="1"/>
    <col min="5375" max="5375" width="12.5703125" customWidth="1"/>
    <col min="5376" max="5377" width="8.42578125" customWidth="1"/>
    <col min="5378" max="5378" width="12.85546875" bestFit="1" customWidth="1"/>
    <col min="5379" max="5379" width="11.42578125" customWidth="1"/>
    <col min="5380" max="5381" width="9.140625" customWidth="1"/>
    <col min="5382" max="5382" width="20.85546875" customWidth="1"/>
    <col min="5383" max="5383" width="11.85546875" customWidth="1"/>
    <col min="5384" max="5627" width="11.42578125" customWidth="1"/>
    <col min="5628" max="5628" width="3.85546875" customWidth="1"/>
    <col min="5629" max="5629" width="37.85546875" customWidth="1"/>
    <col min="5630" max="5630" width="8.85546875" customWidth="1"/>
    <col min="5631" max="5631" width="12.5703125" customWidth="1"/>
    <col min="5632" max="5633" width="8.42578125" customWidth="1"/>
    <col min="5634" max="5634" width="12.85546875" bestFit="1" customWidth="1"/>
    <col min="5635" max="5635" width="11.42578125" customWidth="1"/>
    <col min="5636" max="5637" width="9.140625" customWidth="1"/>
    <col min="5638" max="5638" width="20.85546875" customWidth="1"/>
    <col min="5639" max="5639" width="11.85546875" customWidth="1"/>
    <col min="5640" max="5883" width="11.42578125" customWidth="1"/>
    <col min="5884" max="5884" width="3.85546875" customWidth="1"/>
    <col min="5885" max="5885" width="37.85546875" customWidth="1"/>
    <col min="5886" max="5886" width="8.85546875" customWidth="1"/>
    <col min="5887" max="5887" width="12.5703125" customWidth="1"/>
    <col min="5888" max="5889" width="8.42578125" customWidth="1"/>
    <col min="5890" max="5890" width="12.85546875" bestFit="1" customWidth="1"/>
    <col min="5891" max="5891" width="11.42578125" customWidth="1"/>
    <col min="5892" max="5893" width="9.140625" customWidth="1"/>
    <col min="5894" max="5894" width="20.85546875" customWidth="1"/>
    <col min="5895" max="5895" width="11.85546875" customWidth="1"/>
    <col min="5896" max="6139" width="11.42578125" customWidth="1"/>
    <col min="6140" max="6140" width="3.85546875" customWidth="1"/>
    <col min="6141" max="6141" width="37.85546875" customWidth="1"/>
    <col min="6142" max="6142" width="8.85546875" customWidth="1"/>
    <col min="6143" max="6143" width="12.5703125" customWidth="1"/>
    <col min="6144" max="6145" width="8.42578125" customWidth="1"/>
    <col min="6146" max="6146" width="12.85546875" bestFit="1" customWidth="1"/>
    <col min="6147" max="6147" width="11.42578125" customWidth="1"/>
    <col min="6148" max="6149" width="9.140625" customWidth="1"/>
    <col min="6150" max="6150" width="20.85546875" customWidth="1"/>
    <col min="6151" max="6151" width="11.85546875" customWidth="1"/>
    <col min="6152" max="6395" width="11.42578125" customWidth="1"/>
    <col min="6396" max="6396" width="3.85546875" customWidth="1"/>
    <col min="6397" max="6397" width="37.85546875" customWidth="1"/>
    <col min="6398" max="6398" width="8.85546875" customWidth="1"/>
    <col min="6399" max="6399" width="12.5703125" customWidth="1"/>
    <col min="6400" max="6401" width="8.42578125" customWidth="1"/>
    <col min="6402" max="6402" width="12.85546875" bestFit="1" customWidth="1"/>
    <col min="6403" max="6403" width="11.42578125" customWidth="1"/>
    <col min="6404" max="6405" width="9.140625" customWidth="1"/>
    <col min="6406" max="6406" width="20.85546875" customWidth="1"/>
    <col min="6407" max="6407" width="11.85546875" customWidth="1"/>
    <col min="6408" max="6651" width="11.42578125" customWidth="1"/>
    <col min="6652" max="6652" width="3.85546875" customWidth="1"/>
    <col min="6653" max="6653" width="37.85546875" customWidth="1"/>
    <col min="6654" max="6654" width="8.85546875" customWidth="1"/>
    <col min="6655" max="6655" width="12.5703125" customWidth="1"/>
    <col min="6656" max="6657" width="8.42578125" customWidth="1"/>
    <col min="6658" max="6658" width="12.85546875" bestFit="1" customWidth="1"/>
    <col min="6659" max="6659" width="11.42578125" customWidth="1"/>
    <col min="6660" max="6661" width="9.140625" customWidth="1"/>
    <col min="6662" max="6662" width="20.85546875" customWidth="1"/>
    <col min="6663" max="6663" width="11.85546875" customWidth="1"/>
    <col min="6664" max="6907" width="11.42578125" customWidth="1"/>
    <col min="6908" max="6908" width="3.85546875" customWidth="1"/>
    <col min="6909" max="6909" width="37.85546875" customWidth="1"/>
    <col min="6910" max="6910" width="8.85546875" customWidth="1"/>
    <col min="6911" max="6911" width="12.5703125" customWidth="1"/>
    <col min="6912" max="6913" width="8.42578125" customWidth="1"/>
    <col min="6914" max="6914" width="12.85546875" bestFit="1" customWidth="1"/>
    <col min="6915" max="6915" width="11.42578125" customWidth="1"/>
    <col min="6916" max="6917" width="9.140625" customWidth="1"/>
    <col min="6918" max="6918" width="20.85546875" customWidth="1"/>
    <col min="6919" max="6919" width="11.85546875" customWidth="1"/>
    <col min="6920" max="7163" width="11.42578125" customWidth="1"/>
    <col min="7164" max="7164" width="3.85546875" customWidth="1"/>
    <col min="7165" max="7165" width="37.85546875" customWidth="1"/>
    <col min="7166" max="7166" width="8.85546875" customWidth="1"/>
    <col min="7167" max="7167" width="12.5703125" customWidth="1"/>
    <col min="7168" max="7169" width="8.42578125" customWidth="1"/>
    <col min="7170" max="7170" width="12.85546875" bestFit="1" customWidth="1"/>
    <col min="7171" max="7171" width="11.42578125" customWidth="1"/>
    <col min="7172" max="7173" width="9.140625" customWidth="1"/>
    <col min="7174" max="7174" width="20.85546875" customWidth="1"/>
    <col min="7175" max="7175" width="11.85546875" customWidth="1"/>
    <col min="7176" max="7419" width="11.42578125" customWidth="1"/>
    <col min="7420" max="7420" width="3.85546875" customWidth="1"/>
    <col min="7421" max="7421" width="37.85546875" customWidth="1"/>
    <col min="7422" max="7422" width="8.85546875" customWidth="1"/>
    <col min="7423" max="7423" width="12.5703125" customWidth="1"/>
    <col min="7424" max="7425" width="8.42578125" customWidth="1"/>
    <col min="7426" max="7426" width="12.85546875" bestFit="1" customWidth="1"/>
    <col min="7427" max="7427" width="11.42578125" customWidth="1"/>
    <col min="7428" max="7429" width="9.140625" customWidth="1"/>
    <col min="7430" max="7430" width="20.85546875" customWidth="1"/>
    <col min="7431" max="7431" width="11.85546875" customWidth="1"/>
    <col min="7432" max="7675" width="11.42578125" customWidth="1"/>
    <col min="7676" max="7676" width="3.85546875" customWidth="1"/>
    <col min="7677" max="7677" width="37.85546875" customWidth="1"/>
    <col min="7678" max="7678" width="8.85546875" customWidth="1"/>
    <col min="7679" max="7679" width="12.5703125" customWidth="1"/>
    <col min="7680" max="7681" width="8.42578125" customWidth="1"/>
    <col min="7682" max="7682" width="12.85546875" bestFit="1" customWidth="1"/>
    <col min="7683" max="7683" width="11.42578125" customWidth="1"/>
    <col min="7684" max="7685" width="9.140625" customWidth="1"/>
    <col min="7686" max="7686" width="20.85546875" customWidth="1"/>
    <col min="7687" max="7687" width="11.85546875" customWidth="1"/>
    <col min="7688" max="7931" width="11.42578125" customWidth="1"/>
    <col min="7932" max="7932" width="3.85546875" customWidth="1"/>
    <col min="7933" max="7933" width="37.85546875" customWidth="1"/>
    <col min="7934" max="7934" width="8.85546875" customWidth="1"/>
    <col min="7935" max="7935" width="12.5703125" customWidth="1"/>
    <col min="7936" max="7937" width="8.42578125" customWidth="1"/>
    <col min="7938" max="7938" width="12.85546875" bestFit="1" customWidth="1"/>
    <col min="7939" max="7939" width="11.42578125" customWidth="1"/>
    <col min="7940" max="7941" width="9.140625" customWidth="1"/>
    <col min="7942" max="7942" width="20.85546875" customWidth="1"/>
    <col min="7943" max="7943" width="11.85546875" customWidth="1"/>
    <col min="7944" max="8187" width="11.42578125" customWidth="1"/>
    <col min="8188" max="8188" width="3.85546875" customWidth="1"/>
    <col min="8189" max="8189" width="37.85546875" customWidth="1"/>
    <col min="8190" max="8190" width="8.85546875" customWidth="1"/>
    <col min="8191" max="8191" width="12.5703125" customWidth="1"/>
    <col min="8192" max="8193" width="8.42578125" customWidth="1"/>
    <col min="8194" max="8194" width="12.85546875" bestFit="1" customWidth="1"/>
    <col min="8195" max="8195" width="11.42578125" customWidth="1"/>
    <col min="8196" max="8197" width="9.140625" customWidth="1"/>
    <col min="8198" max="8198" width="20.85546875" customWidth="1"/>
    <col min="8199" max="8199" width="11.85546875" customWidth="1"/>
    <col min="8200" max="8443" width="11.42578125" customWidth="1"/>
    <col min="8444" max="8444" width="3.85546875" customWidth="1"/>
    <col min="8445" max="8445" width="37.85546875" customWidth="1"/>
    <col min="8446" max="8446" width="8.85546875" customWidth="1"/>
    <col min="8447" max="8447" width="12.5703125" customWidth="1"/>
    <col min="8448" max="8449" width="8.42578125" customWidth="1"/>
    <col min="8450" max="8450" width="12.85546875" bestFit="1" customWidth="1"/>
    <col min="8451" max="8451" width="11.42578125" customWidth="1"/>
    <col min="8452" max="8453" width="9.140625" customWidth="1"/>
    <col min="8454" max="8454" width="20.85546875" customWidth="1"/>
    <col min="8455" max="8455" width="11.85546875" customWidth="1"/>
    <col min="8456" max="8699" width="11.42578125" customWidth="1"/>
    <col min="8700" max="8700" width="3.85546875" customWidth="1"/>
    <col min="8701" max="8701" width="37.85546875" customWidth="1"/>
    <col min="8702" max="8702" width="8.85546875" customWidth="1"/>
    <col min="8703" max="8703" width="12.5703125" customWidth="1"/>
    <col min="8704" max="8705" width="8.42578125" customWidth="1"/>
    <col min="8706" max="8706" width="12.85546875" bestFit="1" customWidth="1"/>
    <col min="8707" max="8707" width="11.42578125" customWidth="1"/>
    <col min="8708" max="8709" width="9.140625" customWidth="1"/>
    <col min="8710" max="8710" width="20.85546875" customWidth="1"/>
    <col min="8711" max="8711" width="11.85546875" customWidth="1"/>
    <col min="8712" max="8955" width="11.42578125" customWidth="1"/>
    <col min="8956" max="8956" width="3.85546875" customWidth="1"/>
    <col min="8957" max="8957" width="37.85546875" customWidth="1"/>
    <col min="8958" max="8958" width="8.85546875" customWidth="1"/>
    <col min="8959" max="8959" width="12.5703125" customWidth="1"/>
    <col min="8960" max="8961" width="8.42578125" customWidth="1"/>
    <col min="8962" max="8962" width="12.85546875" bestFit="1" customWidth="1"/>
    <col min="8963" max="8963" width="11.42578125" customWidth="1"/>
    <col min="8964" max="8965" width="9.140625" customWidth="1"/>
    <col min="8966" max="8966" width="20.85546875" customWidth="1"/>
    <col min="8967" max="8967" width="11.85546875" customWidth="1"/>
    <col min="8968" max="9211" width="11.42578125" customWidth="1"/>
    <col min="9212" max="9212" width="3.85546875" customWidth="1"/>
    <col min="9213" max="9213" width="37.85546875" customWidth="1"/>
    <col min="9214" max="9214" width="8.85546875" customWidth="1"/>
    <col min="9215" max="9215" width="12.5703125" customWidth="1"/>
    <col min="9216" max="9217" width="8.42578125" customWidth="1"/>
    <col min="9218" max="9218" width="12.85546875" bestFit="1" customWidth="1"/>
    <col min="9219" max="9219" width="11.42578125" customWidth="1"/>
    <col min="9220" max="9221" width="9.140625" customWidth="1"/>
    <col min="9222" max="9222" width="20.85546875" customWidth="1"/>
    <col min="9223" max="9223" width="11.85546875" customWidth="1"/>
    <col min="9224" max="9467" width="11.42578125" customWidth="1"/>
    <col min="9468" max="9468" width="3.85546875" customWidth="1"/>
    <col min="9469" max="9469" width="37.85546875" customWidth="1"/>
    <col min="9470" max="9470" width="8.85546875" customWidth="1"/>
    <col min="9471" max="9471" width="12.5703125" customWidth="1"/>
    <col min="9472" max="9473" width="8.42578125" customWidth="1"/>
    <col min="9474" max="9474" width="12.85546875" bestFit="1" customWidth="1"/>
    <col min="9475" max="9475" width="11.42578125" customWidth="1"/>
    <col min="9476" max="9477" width="9.140625" customWidth="1"/>
    <col min="9478" max="9478" width="20.85546875" customWidth="1"/>
    <col min="9479" max="9479" width="11.85546875" customWidth="1"/>
    <col min="9480" max="9723" width="11.42578125" customWidth="1"/>
    <col min="9724" max="9724" width="3.85546875" customWidth="1"/>
    <col min="9725" max="9725" width="37.85546875" customWidth="1"/>
    <col min="9726" max="9726" width="8.85546875" customWidth="1"/>
    <col min="9727" max="9727" width="12.5703125" customWidth="1"/>
    <col min="9728" max="9729" width="8.42578125" customWidth="1"/>
    <col min="9730" max="9730" width="12.85546875" bestFit="1" customWidth="1"/>
    <col min="9731" max="9731" width="11.42578125" customWidth="1"/>
    <col min="9732" max="9733" width="9.140625" customWidth="1"/>
    <col min="9734" max="9734" width="20.85546875" customWidth="1"/>
    <col min="9735" max="9735" width="11.85546875" customWidth="1"/>
    <col min="9736" max="9979" width="11.42578125" customWidth="1"/>
    <col min="9980" max="9980" width="3.85546875" customWidth="1"/>
    <col min="9981" max="9981" width="37.85546875" customWidth="1"/>
    <col min="9982" max="9982" width="8.85546875" customWidth="1"/>
    <col min="9983" max="9983" width="12.5703125" customWidth="1"/>
    <col min="9984" max="9985" width="8.42578125" customWidth="1"/>
    <col min="9986" max="9986" width="12.85546875" bestFit="1" customWidth="1"/>
    <col min="9987" max="9987" width="11.42578125" customWidth="1"/>
    <col min="9988" max="9989" width="9.140625" customWidth="1"/>
    <col min="9990" max="9990" width="20.85546875" customWidth="1"/>
    <col min="9991" max="9991" width="11.85546875" customWidth="1"/>
    <col min="9992" max="10235" width="11.42578125" customWidth="1"/>
    <col min="10236" max="10236" width="3.85546875" customWidth="1"/>
    <col min="10237" max="10237" width="37.85546875" customWidth="1"/>
    <col min="10238" max="10238" width="8.85546875" customWidth="1"/>
    <col min="10239" max="10239" width="12.5703125" customWidth="1"/>
    <col min="10240" max="10241" width="8.42578125" customWidth="1"/>
    <col min="10242" max="10242" width="12.85546875" bestFit="1" customWidth="1"/>
    <col min="10243" max="10243" width="11.42578125" customWidth="1"/>
    <col min="10244" max="10245" width="9.140625" customWidth="1"/>
    <col min="10246" max="10246" width="20.85546875" customWidth="1"/>
    <col min="10247" max="10247" width="11.85546875" customWidth="1"/>
    <col min="10248" max="10491" width="11.42578125" customWidth="1"/>
    <col min="10492" max="10492" width="3.85546875" customWidth="1"/>
    <col min="10493" max="10493" width="37.85546875" customWidth="1"/>
    <col min="10494" max="10494" width="8.85546875" customWidth="1"/>
    <col min="10495" max="10495" width="12.5703125" customWidth="1"/>
    <col min="10496" max="10497" width="8.42578125" customWidth="1"/>
    <col min="10498" max="10498" width="12.85546875" bestFit="1" customWidth="1"/>
    <col min="10499" max="10499" width="11.42578125" customWidth="1"/>
    <col min="10500" max="10501" width="9.140625" customWidth="1"/>
    <col min="10502" max="10502" width="20.85546875" customWidth="1"/>
    <col min="10503" max="10503" width="11.85546875" customWidth="1"/>
    <col min="10504" max="10747" width="11.42578125" customWidth="1"/>
    <col min="10748" max="10748" width="3.85546875" customWidth="1"/>
    <col min="10749" max="10749" width="37.85546875" customWidth="1"/>
    <col min="10750" max="10750" width="8.85546875" customWidth="1"/>
    <col min="10751" max="10751" width="12.5703125" customWidth="1"/>
    <col min="10752" max="10753" width="8.42578125" customWidth="1"/>
    <col min="10754" max="10754" width="12.85546875" bestFit="1" customWidth="1"/>
    <col min="10755" max="10755" width="11.42578125" customWidth="1"/>
    <col min="10756" max="10757" width="9.140625" customWidth="1"/>
    <col min="10758" max="10758" width="20.85546875" customWidth="1"/>
    <col min="10759" max="10759" width="11.85546875" customWidth="1"/>
    <col min="10760" max="11003" width="11.42578125" customWidth="1"/>
    <col min="11004" max="11004" width="3.85546875" customWidth="1"/>
    <col min="11005" max="11005" width="37.85546875" customWidth="1"/>
    <col min="11006" max="11006" width="8.85546875" customWidth="1"/>
    <col min="11007" max="11007" width="12.5703125" customWidth="1"/>
    <col min="11008" max="11009" width="8.42578125" customWidth="1"/>
    <col min="11010" max="11010" width="12.85546875" bestFit="1" customWidth="1"/>
    <col min="11011" max="11011" width="11.42578125" customWidth="1"/>
    <col min="11012" max="11013" width="9.140625" customWidth="1"/>
    <col min="11014" max="11014" width="20.85546875" customWidth="1"/>
    <col min="11015" max="11015" width="11.85546875" customWidth="1"/>
    <col min="11016" max="11259" width="11.42578125" customWidth="1"/>
    <col min="11260" max="11260" width="3.85546875" customWidth="1"/>
    <col min="11261" max="11261" width="37.85546875" customWidth="1"/>
    <col min="11262" max="11262" width="8.85546875" customWidth="1"/>
    <col min="11263" max="11263" width="12.5703125" customWidth="1"/>
    <col min="11264" max="11265" width="8.42578125" customWidth="1"/>
    <col min="11266" max="11266" width="12.85546875" bestFit="1" customWidth="1"/>
    <col min="11267" max="11267" width="11.42578125" customWidth="1"/>
    <col min="11268" max="11269" width="9.140625" customWidth="1"/>
    <col min="11270" max="11270" width="20.85546875" customWidth="1"/>
    <col min="11271" max="11271" width="11.85546875" customWidth="1"/>
    <col min="11272" max="11515" width="11.42578125" customWidth="1"/>
    <col min="11516" max="11516" width="3.85546875" customWidth="1"/>
    <col min="11517" max="11517" width="37.85546875" customWidth="1"/>
    <col min="11518" max="11518" width="8.85546875" customWidth="1"/>
    <col min="11519" max="11519" width="12.5703125" customWidth="1"/>
    <col min="11520" max="11521" width="8.42578125" customWidth="1"/>
    <col min="11522" max="11522" width="12.85546875" bestFit="1" customWidth="1"/>
    <col min="11523" max="11523" width="11.42578125" customWidth="1"/>
    <col min="11524" max="11525" width="9.140625" customWidth="1"/>
    <col min="11526" max="11526" width="20.85546875" customWidth="1"/>
    <col min="11527" max="11527" width="11.85546875" customWidth="1"/>
    <col min="11528" max="11771" width="11.42578125" customWidth="1"/>
    <col min="11772" max="11772" width="3.85546875" customWidth="1"/>
    <col min="11773" max="11773" width="37.85546875" customWidth="1"/>
    <col min="11774" max="11774" width="8.85546875" customWidth="1"/>
    <col min="11775" max="11775" width="12.5703125" customWidth="1"/>
    <col min="11776" max="11777" width="8.42578125" customWidth="1"/>
    <col min="11778" max="11778" width="12.85546875" bestFit="1" customWidth="1"/>
    <col min="11779" max="11779" width="11.42578125" customWidth="1"/>
    <col min="11780" max="11781" width="9.140625" customWidth="1"/>
    <col min="11782" max="11782" width="20.85546875" customWidth="1"/>
    <col min="11783" max="11783" width="11.85546875" customWidth="1"/>
    <col min="11784" max="12027" width="11.42578125" customWidth="1"/>
    <col min="12028" max="12028" width="3.85546875" customWidth="1"/>
    <col min="12029" max="12029" width="37.85546875" customWidth="1"/>
    <col min="12030" max="12030" width="8.85546875" customWidth="1"/>
    <col min="12031" max="12031" width="12.5703125" customWidth="1"/>
    <col min="12032" max="12033" width="8.42578125" customWidth="1"/>
    <col min="12034" max="12034" width="12.85546875" bestFit="1" customWidth="1"/>
    <col min="12035" max="12035" width="11.42578125" customWidth="1"/>
    <col min="12036" max="12037" width="9.140625" customWidth="1"/>
    <col min="12038" max="12038" width="20.85546875" customWidth="1"/>
    <col min="12039" max="12039" width="11.85546875" customWidth="1"/>
    <col min="12040" max="12283" width="11.42578125" customWidth="1"/>
    <col min="12284" max="12284" width="3.85546875" customWidth="1"/>
    <col min="12285" max="12285" width="37.85546875" customWidth="1"/>
    <col min="12286" max="12286" width="8.85546875" customWidth="1"/>
    <col min="12287" max="12287" width="12.5703125" customWidth="1"/>
    <col min="12288" max="12289" width="8.42578125" customWidth="1"/>
    <col min="12290" max="12290" width="12.85546875" bestFit="1" customWidth="1"/>
    <col min="12291" max="12291" width="11.42578125" customWidth="1"/>
    <col min="12292" max="12293" width="9.140625" customWidth="1"/>
    <col min="12294" max="12294" width="20.85546875" customWidth="1"/>
    <col min="12295" max="12295" width="11.85546875" customWidth="1"/>
    <col min="12296" max="12539" width="11.42578125" customWidth="1"/>
    <col min="12540" max="12540" width="3.85546875" customWidth="1"/>
    <col min="12541" max="12541" width="37.85546875" customWidth="1"/>
    <col min="12542" max="12542" width="8.85546875" customWidth="1"/>
    <col min="12543" max="12543" width="12.5703125" customWidth="1"/>
    <col min="12544" max="12545" width="8.42578125" customWidth="1"/>
    <col min="12546" max="12546" width="12.85546875" bestFit="1" customWidth="1"/>
    <col min="12547" max="12547" width="11.42578125" customWidth="1"/>
    <col min="12548" max="12549" width="9.140625" customWidth="1"/>
    <col min="12550" max="12550" width="20.85546875" customWidth="1"/>
    <col min="12551" max="12551" width="11.85546875" customWidth="1"/>
    <col min="12552" max="12795" width="11.42578125" customWidth="1"/>
    <col min="12796" max="12796" width="3.85546875" customWidth="1"/>
    <col min="12797" max="12797" width="37.85546875" customWidth="1"/>
    <col min="12798" max="12798" width="8.85546875" customWidth="1"/>
    <col min="12799" max="12799" width="12.5703125" customWidth="1"/>
    <col min="12800" max="12801" width="8.42578125" customWidth="1"/>
    <col min="12802" max="12802" width="12.85546875" bestFit="1" customWidth="1"/>
    <col min="12803" max="12803" width="11.42578125" customWidth="1"/>
    <col min="12804" max="12805" width="9.140625" customWidth="1"/>
    <col min="12806" max="12806" width="20.85546875" customWidth="1"/>
    <col min="12807" max="12807" width="11.85546875" customWidth="1"/>
    <col min="12808" max="13051" width="11.42578125" customWidth="1"/>
    <col min="13052" max="13052" width="3.85546875" customWidth="1"/>
    <col min="13053" max="13053" width="37.85546875" customWidth="1"/>
    <col min="13054" max="13054" width="8.85546875" customWidth="1"/>
    <col min="13055" max="13055" width="12.5703125" customWidth="1"/>
    <col min="13056" max="13057" width="8.42578125" customWidth="1"/>
    <col min="13058" max="13058" width="12.85546875" bestFit="1" customWidth="1"/>
    <col min="13059" max="13059" width="11.42578125" customWidth="1"/>
    <col min="13060" max="13061" width="9.140625" customWidth="1"/>
    <col min="13062" max="13062" width="20.85546875" customWidth="1"/>
    <col min="13063" max="13063" width="11.85546875" customWidth="1"/>
    <col min="13064" max="13307" width="11.42578125" customWidth="1"/>
    <col min="13308" max="13308" width="3.85546875" customWidth="1"/>
    <col min="13309" max="13309" width="37.85546875" customWidth="1"/>
    <col min="13310" max="13310" width="8.85546875" customWidth="1"/>
    <col min="13311" max="13311" width="12.5703125" customWidth="1"/>
    <col min="13312" max="13313" width="8.42578125" customWidth="1"/>
    <col min="13314" max="13314" width="12.85546875" bestFit="1" customWidth="1"/>
    <col min="13315" max="13315" width="11.42578125" customWidth="1"/>
    <col min="13316" max="13317" width="9.140625" customWidth="1"/>
    <col min="13318" max="13318" width="20.85546875" customWidth="1"/>
    <col min="13319" max="13319" width="11.85546875" customWidth="1"/>
    <col min="13320" max="13563" width="11.42578125" customWidth="1"/>
    <col min="13564" max="13564" width="3.85546875" customWidth="1"/>
    <col min="13565" max="13565" width="37.85546875" customWidth="1"/>
    <col min="13566" max="13566" width="8.85546875" customWidth="1"/>
    <col min="13567" max="13567" width="12.5703125" customWidth="1"/>
    <col min="13568" max="13569" width="8.42578125" customWidth="1"/>
    <col min="13570" max="13570" width="12.85546875" bestFit="1" customWidth="1"/>
    <col min="13571" max="13571" width="11.42578125" customWidth="1"/>
    <col min="13572" max="13573" width="9.140625" customWidth="1"/>
    <col min="13574" max="13574" width="20.85546875" customWidth="1"/>
    <col min="13575" max="13575" width="11.85546875" customWidth="1"/>
    <col min="13576" max="13819" width="11.42578125" customWidth="1"/>
    <col min="13820" max="13820" width="3.85546875" customWidth="1"/>
    <col min="13821" max="13821" width="37.85546875" customWidth="1"/>
    <col min="13822" max="13822" width="8.85546875" customWidth="1"/>
    <col min="13823" max="13823" width="12.5703125" customWidth="1"/>
    <col min="13824" max="13825" width="8.42578125" customWidth="1"/>
    <col min="13826" max="13826" width="12.85546875" bestFit="1" customWidth="1"/>
    <col min="13827" max="13827" width="11.42578125" customWidth="1"/>
    <col min="13828" max="13829" width="9.140625" customWidth="1"/>
    <col min="13830" max="13830" width="20.85546875" customWidth="1"/>
    <col min="13831" max="13831" width="11.85546875" customWidth="1"/>
    <col min="13832" max="14075" width="11.42578125" customWidth="1"/>
    <col min="14076" max="14076" width="3.85546875" customWidth="1"/>
    <col min="14077" max="14077" width="37.85546875" customWidth="1"/>
    <col min="14078" max="14078" width="8.85546875" customWidth="1"/>
    <col min="14079" max="14079" width="12.5703125" customWidth="1"/>
    <col min="14080" max="14081" width="8.42578125" customWidth="1"/>
    <col min="14082" max="14082" width="12.85546875" bestFit="1" customWidth="1"/>
    <col min="14083" max="14083" width="11.42578125" customWidth="1"/>
    <col min="14084" max="14085" width="9.140625" customWidth="1"/>
    <col min="14086" max="14086" width="20.85546875" customWidth="1"/>
    <col min="14087" max="14087" width="11.85546875" customWidth="1"/>
    <col min="14088" max="14331" width="11.42578125" customWidth="1"/>
    <col min="14332" max="14332" width="3.85546875" customWidth="1"/>
    <col min="14333" max="14333" width="37.85546875" customWidth="1"/>
    <col min="14334" max="14334" width="8.85546875" customWidth="1"/>
    <col min="14335" max="14335" width="12.5703125" customWidth="1"/>
    <col min="14336" max="14337" width="8.42578125" customWidth="1"/>
    <col min="14338" max="14338" width="12.85546875" bestFit="1" customWidth="1"/>
    <col min="14339" max="14339" width="11.42578125" customWidth="1"/>
    <col min="14340" max="14341" width="9.140625" customWidth="1"/>
    <col min="14342" max="14342" width="20.85546875" customWidth="1"/>
    <col min="14343" max="14343" width="11.85546875" customWidth="1"/>
    <col min="14344" max="14587" width="11.42578125" customWidth="1"/>
    <col min="14588" max="14588" width="3.85546875" customWidth="1"/>
    <col min="14589" max="14589" width="37.85546875" customWidth="1"/>
    <col min="14590" max="14590" width="8.85546875" customWidth="1"/>
    <col min="14591" max="14591" width="12.5703125" customWidth="1"/>
    <col min="14592" max="14593" width="8.42578125" customWidth="1"/>
    <col min="14594" max="14594" width="12.85546875" bestFit="1" customWidth="1"/>
    <col min="14595" max="14595" width="11.42578125" customWidth="1"/>
    <col min="14596" max="14597" width="9.140625" customWidth="1"/>
    <col min="14598" max="14598" width="20.85546875" customWidth="1"/>
    <col min="14599" max="14599" width="11.85546875" customWidth="1"/>
    <col min="14600" max="14843" width="11.42578125" customWidth="1"/>
    <col min="14844" max="14844" width="3.85546875" customWidth="1"/>
    <col min="14845" max="14845" width="37.85546875" customWidth="1"/>
    <col min="14846" max="14846" width="8.85546875" customWidth="1"/>
    <col min="14847" max="14847" width="12.5703125" customWidth="1"/>
    <col min="14848" max="14849" width="8.42578125" customWidth="1"/>
    <col min="14850" max="14850" width="12.85546875" bestFit="1" customWidth="1"/>
    <col min="14851" max="14851" width="11.42578125" customWidth="1"/>
    <col min="14852" max="14853" width="9.140625" customWidth="1"/>
    <col min="14854" max="14854" width="20.85546875" customWidth="1"/>
    <col min="14855" max="14855" width="11.85546875" customWidth="1"/>
    <col min="14856" max="15099" width="11.42578125" customWidth="1"/>
    <col min="15100" max="15100" width="3.85546875" customWidth="1"/>
    <col min="15101" max="15101" width="37.85546875" customWidth="1"/>
    <col min="15102" max="15102" width="8.85546875" customWidth="1"/>
    <col min="15103" max="15103" width="12.5703125" customWidth="1"/>
    <col min="15104" max="15105" width="8.42578125" customWidth="1"/>
    <col min="15106" max="15106" width="12.85546875" bestFit="1" customWidth="1"/>
    <col min="15107" max="15107" width="11.42578125" customWidth="1"/>
    <col min="15108" max="15109" width="9.140625" customWidth="1"/>
    <col min="15110" max="15110" width="20.85546875" customWidth="1"/>
    <col min="15111" max="15111" width="11.85546875" customWidth="1"/>
    <col min="15112" max="15355" width="11.42578125" customWidth="1"/>
    <col min="15356" max="15356" width="3.85546875" customWidth="1"/>
    <col min="15357" max="15357" width="37.85546875" customWidth="1"/>
    <col min="15358" max="15358" width="8.85546875" customWidth="1"/>
    <col min="15359" max="15359" width="12.5703125" customWidth="1"/>
    <col min="15360" max="15361" width="8.42578125" customWidth="1"/>
    <col min="15362" max="15362" width="12.85546875" bestFit="1" customWidth="1"/>
    <col min="15363" max="15363" width="11.42578125" customWidth="1"/>
    <col min="15364" max="15365" width="9.140625" customWidth="1"/>
    <col min="15366" max="15366" width="20.85546875" customWidth="1"/>
    <col min="15367" max="15367" width="11.85546875" customWidth="1"/>
    <col min="15368" max="15611" width="11.42578125" customWidth="1"/>
    <col min="15612" max="15612" width="3.85546875" customWidth="1"/>
    <col min="15613" max="15613" width="37.85546875" customWidth="1"/>
    <col min="15614" max="15614" width="8.85546875" customWidth="1"/>
    <col min="15615" max="15615" width="12.5703125" customWidth="1"/>
    <col min="15616" max="15617" width="8.42578125" customWidth="1"/>
    <col min="15618" max="15618" width="12.85546875" bestFit="1" customWidth="1"/>
    <col min="15619" max="15619" width="11.42578125" customWidth="1"/>
    <col min="15620" max="15621" width="9.140625" customWidth="1"/>
    <col min="15622" max="15622" width="20.85546875" customWidth="1"/>
    <col min="15623" max="15623" width="11.85546875" customWidth="1"/>
    <col min="15624" max="15867" width="11.42578125" customWidth="1"/>
    <col min="15868" max="15868" width="3.85546875" customWidth="1"/>
    <col min="15869" max="15869" width="37.85546875" customWidth="1"/>
    <col min="15870" max="15870" width="8.85546875" customWidth="1"/>
    <col min="15871" max="15871" width="12.5703125" customWidth="1"/>
    <col min="15872" max="15873" width="8.42578125" customWidth="1"/>
    <col min="15874" max="15874" width="12.85546875" bestFit="1" customWidth="1"/>
    <col min="15875" max="15875" width="11.42578125" customWidth="1"/>
    <col min="15876" max="15877" width="9.140625" customWidth="1"/>
    <col min="15878" max="15878" width="20.85546875" customWidth="1"/>
    <col min="15879" max="15879" width="11.85546875" customWidth="1"/>
    <col min="15880" max="16123" width="11.42578125" customWidth="1"/>
    <col min="16124" max="16124" width="3.85546875" customWidth="1"/>
    <col min="16125" max="16125" width="37.85546875" customWidth="1"/>
    <col min="16126" max="16126" width="8.85546875" customWidth="1"/>
    <col min="16127" max="16127" width="12.5703125" customWidth="1"/>
    <col min="16128" max="16129" width="8.42578125" customWidth="1"/>
    <col min="16130" max="16130" width="12.85546875" bestFit="1" customWidth="1"/>
    <col min="16131" max="16131" width="11.42578125" customWidth="1"/>
    <col min="16132" max="16133" width="9.140625" customWidth="1"/>
    <col min="16134" max="16134" width="20.85546875" customWidth="1"/>
    <col min="16135" max="16135" width="11.85546875" customWidth="1"/>
    <col min="16136" max="16384" width="11.42578125" customWidth="1"/>
  </cols>
  <sheetData>
    <row r="1" spans="1:9" ht="17.25" customHeight="1" thickTop="1">
      <c r="A1" s="190"/>
      <c r="B1" s="191"/>
      <c r="C1" s="196" t="s">
        <v>0</v>
      </c>
      <c r="D1" s="197"/>
      <c r="E1" s="197"/>
      <c r="F1" s="197"/>
      <c r="G1" s="197"/>
      <c r="H1" s="197"/>
    </row>
    <row r="2" spans="1:9" ht="28.5" customHeight="1">
      <c r="A2" s="192"/>
      <c r="B2" s="193"/>
      <c r="C2" s="198"/>
      <c r="D2" s="199"/>
      <c r="E2" s="199"/>
      <c r="F2" s="199"/>
      <c r="G2" s="199"/>
      <c r="H2" s="199"/>
    </row>
    <row r="3" spans="1:9" ht="31.5" customHeight="1">
      <c r="A3" s="194"/>
      <c r="B3" s="195"/>
      <c r="C3" s="200"/>
      <c r="D3" s="201"/>
      <c r="E3" s="201"/>
      <c r="F3" s="201"/>
      <c r="G3" s="201"/>
      <c r="H3" s="201"/>
    </row>
    <row r="4" spans="1:9" s="3" customFormat="1" ht="12.75" customHeight="1">
      <c r="A4" s="99"/>
      <c r="B4" s="86"/>
      <c r="C4" s="202" t="s">
        <v>1</v>
      </c>
      <c r="D4" s="202"/>
      <c r="E4" s="202"/>
      <c r="F4" s="202"/>
      <c r="G4" s="203"/>
      <c r="H4" s="140">
        <v>600.72</v>
      </c>
    </row>
    <row r="5" spans="1:9" s="47" customFormat="1" ht="12.75" customHeight="1">
      <c r="A5" s="204"/>
      <c r="B5" s="205" t="s">
        <v>2</v>
      </c>
      <c r="C5" s="206" t="s">
        <v>3</v>
      </c>
      <c r="D5" s="206" t="s">
        <v>4</v>
      </c>
      <c r="E5" s="208" t="s">
        <v>5</v>
      </c>
      <c r="F5" s="209"/>
      <c r="G5" s="210" t="s">
        <v>6</v>
      </c>
      <c r="H5" s="138" t="s">
        <v>7</v>
      </c>
    </row>
    <row r="6" spans="1:9" s="47" customFormat="1" ht="12.75" customHeight="1">
      <c r="A6" s="204"/>
      <c r="B6" s="205"/>
      <c r="C6" s="207"/>
      <c r="D6" s="207"/>
      <c r="E6" s="100" t="s">
        <v>8</v>
      </c>
      <c r="F6" s="134" t="s">
        <v>9</v>
      </c>
      <c r="G6" s="211"/>
      <c r="H6" s="139"/>
    </row>
    <row r="7" spans="1:9" s="47" customFormat="1" ht="26.1">
      <c r="A7" s="101">
        <v>1</v>
      </c>
      <c r="B7" s="102" t="s">
        <v>10</v>
      </c>
      <c r="C7" s="103"/>
      <c r="D7" s="104"/>
      <c r="E7" s="103"/>
      <c r="F7" s="103"/>
      <c r="G7" s="105">
        <f>SUM(G8:G16)</f>
        <v>3432800</v>
      </c>
      <c r="H7" s="147">
        <f>G7/H4</f>
        <v>5714.4759621787189</v>
      </c>
    </row>
    <row r="8" spans="1:9" s="109" customFormat="1" ht="12.95">
      <c r="A8" s="106"/>
      <c r="B8" s="107" t="s">
        <v>11</v>
      </c>
      <c r="C8" s="161">
        <v>18</v>
      </c>
      <c r="D8" s="108">
        <v>3000</v>
      </c>
      <c r="E8" s="108" t="s">
        <v>12</v>
      </c>
      <c r="F8" s="108">
        <v>4</v>
      </c>
      <c r="G8" s="108">
        <f>+C8*D8*F8</f>
        <v>216000</v>
      </c>
      <c r="H8" s="148">
        <f>G8/$H$4</f>
        <v>359.56851777866558</v>
      </c>
      <c r="I8" s="155" t="s">
        <v>13</v>
      </c>
    </row>
    <row r="9" spans="1:9" s="109" customFormat="1" ht="12.95">
      <c r="A9" s="106"/>
      <c r="B9" s="107" t="s">
        <v>14</v>
      </c>
      <c r="C9" s="161">
        <v>30</v>
      </c>
      <c r="D9" s="108">
        <v>2500</v>
      </c>
      <c r="E9" s="108" t="s">
        <v>12</v>
      </c>
      <c r="F9" s="108">
        <v>4</v>
      </c>
      <c r="G9" s="108">
        <f>+C9*D9*F9</f>
        <v>300000</v>
      </c>
      <c r="H9" s="148">
        <f t="shared" ref="H9:H23" si="0">G9/$H$4</f>
        <v>499.40071913703554</v>
      </c>
    </row>
    <row r="10" spans="1:9" s="109" customFormat="1" ht="12.95">
      <c r="A10" s="106"/>
      <c r="B10" s="107" t="s">
        <v>15</v>
      </c>
      <c r="C10" s="161">
        <v>30</v>
      </c>
      <c r="D10" s="108">
        <v>11500</v>
      </c>
      <c r="E10" s="108" t="s">
        <v>12</v>
      </c>
      <c r="F10" s="108">
        <v>4</v>
      </c>
      <c r="G10" s="108">
        <f>+C10*D10*F10</f>
        <v>1380000</v>
      </c>
      <c r="H10" s="148">
        <f t="shared" si="0"/>
        <v>2297.2433080303636</v>
      </c>
    </row>
    <row r="11" spans="1:9" s="109" customFormat="1" ht="12.95">
      <c r="A11" s="106"/>
      <c r="B11" s="107" t="s">
        <v>16</v>
      </c>
      <c r="C11" s="161">
        <v>30</v>
      </c>
      <c r="D11" s="108">
        <v>800</v>
      </c>
      <c r="E11" s="108" t="s">
        <v>12</v>
      </c>
      <c r="F11" s="108">
        <v>4</v>
      </c>
      <c r="G11" s="108">
        <f>+C11*D11*F11</f>
        <v>96000</v>
      </c>
      <c r="H11" s="148">
        <f t="shared" si="0"/>
        <v>159.80823012385136</v>
      </c>
    </row>
    <row r="12" spans="1:9" s="109" customFormat="1" ht="12.95">
      <c r="A12" s="106"/>
      <c r="B12" s="162" t="s">
        <v>17</v>
      </c>
      <c r="C12" s="161">
        <v>1</v>
      </c>
      <c r="D12" s="108">
        <v>250000</v>
      </c>
      <c r="E12" s="108" t="s">
        <v>12</v>
      </c>
      <c r="F12" s="108">
        <v>4</v>
      </c>
      <c r="G12" s="108">
        <f>+C12*D12*F12</f>
        <v>1000000</v>
      </c>
      <c r="H12" s="148">
        <f t="shared" si="0"/>
        <v>1664.6690637901183</v>
      </c>
    </row>
    <row r="13" spans="1:9" s="109" customFormat="1" ht="12.95">
      <c r="A13" s="106"/>
      <c r="B13" s="107" t="s">
        <v>18</v>
      </c>
      <c r="C13" s="161">
        <v>20</v>
      </c>
      <c r="D13" s="110"/>
      <c r="E13" s="110"/>
      <c r="F13" s="110"/>
      <c r="G13" s="108">
        <v>200000</v>
      </c>
      <c r="H13" s="148">
        <f t="shared" si="0"/>
        <v>332.93381275802369</v>
      </c>
    </row>
    <row r="14" spans="1:9" s="109" customFormat="1" ht="27" customHeight="1">
      <c r="A14" s="106"/>
      <c r="B14" s="163" t="s">
        <v>19</v>
      </c>
      <c r="C14" s="161">
        <v>4</v>
      </c>
      <c r="D14" s="108">
        <v>52000</v>
      </c>
      <c r="E14" s="108" t="s">
        <v>12</v>
      </c>
      <c r="F14" s="108">
        <v>1</v>
      </c>
      <c r="G14" s="108">
        <f>+C14*D14*F14</f>
        <v>208000</v>
      </c>
      <c r="H14" s="148">
        <f t="shared" si="0"/>
        <v>346.25116526834466</v>
      </c>
    </row>
    <row r="15" spans="1:9" s="109" customFormat="1" ht="12.95">
      <c r="A15" s="106"/>
      <c r="B15" s="107" t="s">
        <v>20</v>
      </c>
      <c r="C15" s="164">
        <v>2</v>
      </c>
      <c r="D15" s="108">
        <v>50</v>
      </c>
      <c r="E15" s="108" t="s">
        <v>21</v>
      </c>
      <c r="F15" s="108">
        <v>228</v>
      </c>
      <c r="G15" s="108">
        <f>+C15*D15*F15</f>
        <v>22800</v>
      </c>
      <c r="H15" s="148">
        <f t="shared" si="0"/>
        <v>37.954454654414704</v>
      </c>
      <c r="I15" s="155" t="s">
        <v>22</v>
      </c>
    </row>
    <row r="16" spans="1:9" s="109" customFormat="1" ht="12.95">
      <c r="A16" s="106"/>
      <c r="B16" s="107" t="s">
        <v>23</v>
      </c>
      <c r="C16" s="161">
        <v>2</v>
      </c>
      <c r="D16" s="110"/>
      <c r="E16" s="110"/>
      <c r="F16" s="110"/>
      <c r="G16" s="108">
        <v>10000</v>
      </c>
      <c r="H16" s="148">
        <f t="shared" si="0"/>
        <v>16.646690637901184</v>
      </c>
    </row>
    <row r="17" spans="1:14" s="47" customFormat="1" ht="12.95">
      <c r="A17" s="101">
        <v>2</v>
      </c>
      <c r="B17" s="102" t="s">
        <v>24</v>
      </c>
      <c r="C17" s="166"/>
      <c r="D17" s="167"/>
      <c r="E17" s="166"/>
      <c r="F17" s="166"/>
      <c r="G17" s="105">
        <f>SUM(G18:G23)</f>
        <v>67600</v>
      </c>
      <c r="H17" s="168">
        <f>G17/H4</f>
        <v>112.53162871221201</v>
      </c>
    </row>
    <row r="18" spans="1:14" s="47" customFormat="1" ht="12.95">
      <c r="A18" s="112"/>
      <c r="B18" s="169" t="s">
        <v>25</v>
      </c>
      <c r="C18" s="161">
        <v>20</v>
      </c>
      <c r="D18" s="108">
        <v>100</v>
      </c>
      <c r="E18" s="110"/>
      <c r="F18" s="110"/>
      <c r="G18" s="108">
        <f>+C18*D18</f>
        <v>2000</v>
      </c>
      <c r="H18" s="148">
        <f>G18/$H$4</f>
        <v>3.329338127580237</v>
      </c>
    </row>
    <row r="19" spans="1:14" s="47" customFormat="1" ht="12.95">
      <c r="A19" s="115"/>
      <c r="B19" s="169" t="s">
        <v>26</v>
      </c>
      <c r="C19" s="161">
        <v>20</v>
      </c>
      <c r="D19" s="108">
        <v>1500</v>
      </c>
      <c r="E19" s="110"/>
      <c r="F19" s="110"/>
      <c r="G19" s="108">
        <f>+C19*D19</f>
        <v>30000</v>
      </c>
      <c r="H19" s="148">
        <f t="shared" si="0"/>
        <v>49.940071913703555</v>
      </c>
    </row>
    <row r="20" spans="1:14" s="47" customFormat="1" ht="12.95">
      <c r="A20" s="112"/>
      <c r="B20" s="169" t="s">
        <v>27</v>
      </c>
      <c r="C20" s="161">
        <v>20</v>
      </c>
      <c r="D20" s="108">
        <v>500</v>
      </c>
      <c r="E20" s="110"/>
      <c r="F20" s="110"/>
      <c r="G20" s="108">
        <f t="shared" ref="G20:G22" si="1">+C20*D20</f>
        <v>10000</v>
      </c>
      <c r="H20" s="148">
        <f t="shared" si="0"/>
        <v>16.646690637901184</v>
      </c>
    </row>
    <row r="21" spans="1:14" s="47" customFormat="1" ht="12.95">
      <c r="A21" s="112"/>
      <c r="B21" s="169" t="s">
        <v>28</v>
      </c>
      <c r="C21" s="161">
        <v>20</v>
      </c>
      <c r="D21" s="108">
        <v>200</v>
      </c>
      <c r="E21" s="110"/>
      <c r="F21" s="110"/>
      <c r="G21" s="108">
        <f t="shared" si="1"/>
        <v>4000</v>
      </c>
      <c r="H21" s="148">
        <f t="shared" si="0"/>
        <v>6.6586762551604739</v>
      </c>
    </row>
    <row r="22" spans="1:14" s="47" customFormat="1" ht="12.95">
      <c r="A22" s="112"/>
      <c r="B22" s="169" t="s">
        <v>29</v>
      </c>
      <c r="C22" s="161">
        <v>4</v>
      </c>
      <c r="D22" s="108">
        <v>400</v>
      </c>
      <c r="E22" s="110"/>
      <c r="F22" s="110"/>
      <c r="G22" s="108">
        <f t="shared" si="1"/>
        <v>1600</v>
      </c>
      <c r="H22" s="148">
        <f t="shared" si="0"/>
        <v>2.6634705020641896</v>
      </c>
    </row>
    <row r="23" spans="1:14" s="47" customFormat="1" ht="12.95">
      <c r="A23" s="112"/>
      <c r="B23" s="169" t="s">
        <v>30</v>
      </c>
      <c r="C23" s="161">
        <v>1</v>
      </c>
      <c r="D23" s="108"/>
      <c r="E23" s="110"/>
      <c r="F23" s="110"/>
      <c r="G23" s="108">
        <v>20000</v>
      </c>
      <c r="H23" s="148">
        <f t="shared" si="0"/>
        <v>33.293381275802368</v>
      </c>
    </row>
    <row r="24" spans="1:14" s="47" customFormat="1" ht="12.95">
      <c r="A24" s="101">
        <v>3</v>
      </c>
      <c r="B24" s="102" t="s">
        <v>31</v>
      </c>
      <c r="C24" s="166"/>
      <c r="D24" s="167"/>
      <c r="E24" s="166"/>
      <c r="F24" s="166"/>
      <c r="G24" s="105">
        <f>SUM(G26:G42)</f>
        <v>16192500</v>
      </c>
      <c r="H24" s="170">
        <f>G24/H4</f>
        <v>26955.153815421494</v>
      </c>
    </row>
    <row r="25" spans="1:14" s="109" customFormat="1" ht="12.95">
      <c r="A25" s="106"/>
      <c r="B25" s="116" t="s">
        <v>32</v>
      </c>
      <c r="C25" s="161"/>
      <c r="D25" s="108"/>
      <c r="E25" s="108"/>
      <c r="F25" s="108"/>
      <c r="G25" s="108"/>
      <c r="H25" s="148"/>
    </row>
    <row r="26" spans="1:14" s="109" customFormat="1" ht="12.95">
      <c r="A26" s="106"/>
      <c r="B26" s="117" t="s">
        <v>33</v>
      </c>
      <c r="C26" s="161">
        <v>18</v>
      </c>
      <c r="D26" s="108">
        <v>1000</v>
      </c>
      <c r="E26" s="108" t="s">
        <v>34</v>
      </c>
      <c r="F26" s="108">
        <v>15</v>
      </c>
      <c r="G26" s="108">
        <f t="shared" ref="G26:G37" si="2">+C26*D26*F26</f>
        <v>270000</v>
      </c>
      <c r="H26" s="148">
        <f>G26/$H$4</f>
        <v>449.46064722333199</v>
      </c>
    </row>
    <row r="27" spans="1:14" s="109" customFormat="1" ht="12.95">
      <c r="A27" s="118"/>
      <c r="B27" s="119" t="s">
        <v>35</v>
      </c>
      <c r="C27" s="161">
        <v>4</v>
      </c>
      <c r="D27" s="120">
        <v>2000</v>
      </c>
      <c r="E27" s="120" t="s">
        <v>34</v>
      </c>
      <c r="F27" s="108">
        <v>15</v>
      </c>
      <c r="G27" s="120">
        <f t="shared" si="2"/>
        <v>120000</v>
      </c>
      <c r="H27" s="148">
        <f t="shared" ref="H27:H50" si="3">G27/$H$4</f>
        <v>199.76028765481422</v>
      </c>
    </row>
    <row r="28" spans="1:14" s="109" customFormat="1" ht="16.5" customHeight="1">
      <c r="A28" s="106"/>
      <c r="B28" s="119" t="s">
        <v>36</v>
      </c>
      <c r="C28" s="171">
        <v>25</v>
      </c>
      <c r="D28" s="141">
        <v>2500</v>
      </c>
      <c r="E28" s="141" t="s">
        <v>34</v>
      </c>
      <c r="F28" s="141">
        <v>1</v>
      </c>
      <c r="G28" s="141">
        <f>+C28*D28*F28</f>
        <v>62500</v>
      </c>
      <c r="H28" s="148">
        <f t="shared" si="3"/>
        <v>104.0418164868824</v>
      </c>
      <c r="I28" s="155" t="s">
        <v>37</v>
      </c>
      <c r="J28" s="181"/>
      <c r="K28" s="181"/>
      <c r="L28" s="181"/>
      <c r="M28" s="181"/>
      <c r="N28" s="181"/>
    </row>
    <row r="29" spans="1:14" s="109" customFormat="1" ht="12.95">
      <c r="A29" s="106"/>
      <c r="B29" s="117" t="s">
        <v>38</v>
      </c>
      <c r="C29" s="171">
        <v>12</v>
      </c>
      <c r="D29" s="108">
        <v>18000</v>
      </c>
      <c r="E29" s="108" t="s">
        <v>12</v>
      </c>
      <c r="F29" s="108">
        <v>15</v>
      </c>
      <c r="G29" s="108">
        <f>+C29*D29*F29</f>
        <v>3240000</v>
      </c>
      <c r="H29" s="148">
        <f t="shared" si="3"/>
        <v>5393.5277666799839</v>
      </c>
      <c r="J29" s="109" t="s">
        <v>39</v>
      </c>
      <c r="K29" s="109">
        <v>600</v>
      </c>
    </row>
    <row r="30" spans="1:14" s="109" customFormat="1" ht="12.95">
      <c r="A30" s="106"/>
      <c r="B30" s="117" t="s">
        <v>40</v>
      </c>
      <c r="C30" s="171">
        <v>3</v>
      </c>
      <c r="D30" s="108">
        <v>20000</v>
      </c>
      <c r="E30" s="108" t="s">
        <v>12</v>
      </c>
      <c r="F30" s="108">
        <v>15</v>
      </c>
      <c r="G30" s="108">
        <f>+C30*D30*F30</f>
        <v>900000</v>
      </c>
      <c r="H30" s="148">
        <f t="shared" si="3"/>
        <v>1498.2021574111066</v>
      </c>
      <c r="J30" s="109" t="s">
        <v>41</v>
      </c>
      <c r="K30" s="153">
        <v>12</v>
      </c>
    </row>
    <row r="31" spans="1:14" s="109" customFormat="1" ht="12.95">
      <c r="A31" s="106"/>
      <c r="B31" s="117" t="s">
        <v>42</v>
      </c>
      <c r="C31" s="171">
        <v>3</v>
      </c>
      <c r="D31" s="108">
        <v>25000</v>
      </c>
      <c r="E31" s="108" t="s">
        <v>12</v>
      </c>
      <c r="F31" s="108">
        <v>10</v>
      </c>
      <c r="G31" s="108">
        <f>+C31*D31*F31</f>
        <v>750000</v>
      </c>
      <c r="H31" s="148">
        <f t="shared" si="3"/>
        <v>1248.5017978425888</v>
      </c>
      <c r="J31" s="109" t="s">
        <v>43</v>
      </c>
      <c r="K31" s="109">
        <v>4</v>
      </c>
    </row>
    <row r="32" spans="1:14" s="109" customFormat="1" ht="12.95">
      <c r="A32" s="106"/>
      <c r="B32" s="117" t="s">
        <v>44</v>
      </c>
      <c r="C32" s="171">
        <v>3</v>
      </c>
      <c r="D32" s="110"/>
      <c r="E32" s="110"/>
      <c r="F32" s="110"/>
      <c r="G32" s="108">
        <v>30000</v>
      </c>
      <c r="H32" s="148">
        <f t="shared" si="3"/>
        <v>49.940071913703555</v>
      </c>
      <c r="J32" s="109" t="s">
        <v>34</v>
      </c>
      <c r="K32" s="153">
        <f>K29/K30/K31</f>
        <v>12.5</v>
      </c>
    </row>
    <row r="33" spans="1:2666" s="109" customFormat="1" ht="12.95">
      <c r="A33" s="106"/>
      <c r="B33" s="117" t="s">
        <v>45</v>
      </c>
      <c r="C33" s="171">
        <v>3</v>
      </c>
      <c r="D33" s="108">
        <v>2000</v>
      </c>
      <c r="E33" s="108" t="s">
        <v>12</v>
      </c>
      <c r="F33" s="108">
        <v>10</v>
      </c>
      <c r="G33" s="108">
        <f t="shared" si="2"/>
        <v>60000</v>
      </c>
      <c r="H33" s="148">
        <f t="shared" si="3"/>
        <v>99.88014382740711</v>
      </c>
    </row>
    <row r="34" spans="1:2666" s="109" customFormat="1" ht="12.95">
      <c r="A34" s="106"/>
      <c r="B34" s="117" t="s">
        <v>46</v>
      </c>
      <c r="C34" s="171">
        <v>3</v>
      </c>
      <c r="D34" s="108">
        <v>10000</v>
      </c>
      <c r="E34" s="110"/>
      <c r="F34" s="110"/>
      <c r="G34" s="108">
        <f>C34*D34</f>
        <v>30000</v>
      </c>
      <c r="H34" s="148">
        <f t="shared" si="3"/>
        <v>49.940071913703555</v>
      </c>
    </row>
    <row r="35" spans="1:2666" s="109" customFormat="1" ht="17.25" customHeight="1">
      <c r="A35" s="106"/>
      <c r="B35" s="117" t="s">
        <v>47</v>
      </c>
      <c r="C35" s="161">
        <v>2</v>
      </c>
      <c r="D35" s="108">
        <v>78000</v>
      </c>
      <c r="E35" s="108" t="s">
        <v>12</v>
      </c>
      <c r="F35" s="108">
        <v>15</v>
      </c>
      <c r="G35" s="108">
        <f>+C35*D35*F35</f>
        <v>2340000</v>
      </c>
      <c r="H35" s="148">
        <f t="shared" si="3"/>
        <v>3895.3256092688771</v>
      </c>
      <c r="J35" s="154"/>
      <c r="K35" s="154"/>
      <c r="L35" s="154"/>
      <c r="M35" s="154"/>
      <c r="N35" s="154"/>
    </row>
    <row r="36" spans="1:2666" s="109" customFormat="1" ht="15" customHeight="1">
      <c r="A36" s="106"/>
      <c r="B36" s="117" t="s">
        <v>48</v>
      </c>
      <c r="C36" s="161">
        <v>1</v>
      </c>
      <c r="D36" s="108">
        <v>78000</v>
      </c>
      <c r="E36" s="108" t="s">
        <v>12</v>
      </c>
      <c r="F36" s="108">
        <v>10</v>
      </c>
      <c r="G36" s="108">
        <f>+C36*D36*F36</f>
        <v>780000</v>
      </c>
      <c r="H36" s="148">
        <f t="shared" si="3"/>
        <v>1298.4418697562924</v>
      </c>
      <c r="J36" s="136"/>
      <c r="K36" s="136"/>
      <c r="L36" s="136"/>
      <c r="M36" s="136"/>
      <c r="N36" s="136"/>
    </row>
    <row r="37" spans="1:2666" s="109" customFormat="1" ht="12.95">
      <c r="A37" s="106"/>
      <c r="B37" s="117" t="s">
        <v>49</v>
      </c>
      <c r="C37" s="161">
        <v>8</v>
      </c>
      <c r="D37" s="108">
        <v>25000</v>
      </c>
      <c r="E37" s="108" t="s">
        <v>12</v>
      </c>
      <c r="F37" s="108">
        <v>15</v>
      </c>
      <c r="G37" s="108">
        <f t="shared" si="2"/>
        <v>3000000</v>
      </c>
      <c r="H37" s="148">
        <f t="shared" si="3"/>
        <v>4994.007191370355</v>
      </c>
      <c r="J37" s="182"/>
      <c r="K37" s="182"/>
      <c r="L37" s="182"/>
      <c r="M37" s="182"/>
      <c r="N37" s="182"/>
    </row>
    <row r="38" spans="1:2666" s="109" customFormat="1" ht="12.95">
      <c r="A38" s="106"/>
      <c r="B38" s="117" t="s">
        <v>50</v>
      </c>
      <c r="C38" s="161">
        <v>2</v>
      </c>
      <c r="D38" s="108">
        <v>25000</v>
      </c>
      <c r="E38" s="108" t="s">
        <v>51</v>
      </c>
      <c r="F38" s="108">
        <v>10</v>
      </c>
      <c r="G38" s="108">
        <f t="shared" ref="G38" si="4">+C38*D38*F38</f>
        <v>500000</v>
      </c>
      <c r="H38" s="148">
        <f t="shared" ref="H38" si="5">G38/$H$4</f>
        <v>832.33453189505917</v>
      </c>
      <c r="J38" s="157"/>
      <c r="K38" s="157"/>
      <c r="L38" s="157"/>
      <c r="M38" s="157"/>
      <c r="N38" s="157"/>
    </row>
    <row r="39" spans="1:2666" s="109" customFormat="1" ht="12.95">
      <c r="A39" s="106"/>
      <c r="B39" s="117" t="s">
        <v>52</v>
      </c>
      <c r="C39" s="161">
        <v>1</v>
      </c>
      <c r="D39" s="110"/>
      <c r="E39" s="110"/>
      <c r="F39" s="110"/>
      <c r="G39" s="108">
        <v>30000</v>
      </c>
      <c r="H39" s="148">
        <f t="shared" si="3"/>
        <v>49.940071913703555</v>
      </c>
    </row>
    <row r="40" spans="1:2666" s="109" customFormat="1" ht="12.95">
      <c r="A40" s="106"/>
      <c r="B40" s="117" t="s">
        <v>53</v>
      </c>
      <c r="C40" s="161">
        <v>1</v>
      </c>
      <c r="D40" s="110"/>
      <c r="E40" s="110"/>
      <c r="F40" s="110"/>
      <c r="G40" s="108">
        <v>30000</v>
      </c>
      <c r="H40" s="148">
        <f t="shared" si="3"/>
        <v>49.940071913703555</v>
      </c>
    </row>
    <row r="41" spans="1:2666" s="109" customFormat="1" ht="12.95">
      <c r="A41" s="106"/>
      <c r="B41" s="117" t="s">
        <v>54</v>
      </c>
      <c r="C41" s="161">
        <v>1</v>
      </c>
      <c r="D41" s="108">
        <v>2500</v>
      </c>
      <c r="E41" s="108" t="s">
        <v>21</v>
      </c>
      <c r="F41" s="108">
        <v>228</v>
      </c>
      <c r="G41" s="108">
        <f>C41*D41*F41</f>
        <v>570000</v>
      </c>
      <c r="H41" s="148">
        <f t="shared" si="3"/>
        <v>948.86136636036747</v>
      </c>
    </row>
    <row r="42" spans="1:2666" s="109" customFormat="1" ht="12.95">
      <c r="A42" s="106"/>
      <c r="B42" s="137" t="s">
        <v>55</v>
      </c>
      <c r="C42" s="161">
        <v>24</v>
      </c>
      <c r="D42" s="108">
        <v>145000</v>
      </c>
      <c r="E42" s="108" t="s">
        <v>12</v>
      </c>
      <c r="F42" s="108">
        <v>1</v>
      </c>
      <c r="G42" s="108">
        <f>C42*D42*F42</f>
        <v>3480000</v>
      </c>
      <c r="H42" s="148">
        <f t="shared" si="3"/>
        <v>5793.0483419896118</v>
      </c>
    </row>
    <row r="43" spans="1:2666" s="109" customFormat="1" ht="12.95">
      <c r="A43" s="101">
        <v>4</v>
      </c>
      <c r="B43" s="102" t="s">
        <v>56</v>
      </c>
      <c r="C43" s="165"/>
      <c r="D43" s="165"/>
      <c r="E43" s="165"/>
      <c r="F43" s="165"/>
      <c r="G43" s="105">
        <f>SUM(G44:G50)</f>
        <v>3955400</v>
      </c>
      <c r="H43" s="170">
        <f>G43/H4</f>
        <v>6584.4320149154346</v>
      </c>
    </row>
    <row r="44" spans="1:2666" s="137" customFormat="1" ht="12.95">
      <c r="B44" s="117" t="s">
        <v>38</v>
      </c>
      <c r="C44" s="161">
        <v>9</v>
      </c>
      <c r="D44" s="108">
        <v>18000</v>
      </c>
      <c r="E44" s="108" t="s">
        <v>12</v>
      </c>
      <c r="F44" s="108">
        <v>7</v>
      </c>
      <c r="G44" s="108">
        <f>+C44*D44*F44</f>
        <v>1134000</v>
      </c>
      <c r="H44" s="148">
        <f t="shared" si="3"/>
        <v>1887.7347183379943</v>
      </c>
      <c r="I44" s="109"/>
      <c r="J44" s="109"/>
      <c r="K44" s="109"/>
      <c r="L44" s="109"/>
      <c r="M44" s="109"/>
      <c r="N44" s="109"/>
      <c r="O44" s="109"/>
      <c r="P44" s="109"/>
      <c r="Q44" s="109"/>
      <c r="R44" s="159"/>
      <c r="S44" s="159"/>
      <c r="T44" s="159"/>
      <c r="U44" s="159"/>
      <c r="V44" s="159"/>
      <c r="W44" s="159"/>
      <c r="X44" s="159"/>
      <c r="Y44" s="159"/>
      <c r="Z44" s="159"/>
      <c r="AA44" s="159"/>
      <c r="AB44" s="159"/>
      <c r="AC44" s="159"/>
      <c r="AD44" s="159"/>
      <c r="AE44" s="159"/>
      <c r="AF44" s="159"/>
      <c r="AG44" s="159"/>
      <c r="AH44" s="159"/>
      <c r="AI44" s="159"/>
      <c r="AJ44" s="159"/>
      <c r="AK44" s="159"/>
      <c r="AL44" s="159"/>
      <c r="AM44" s="159"/>
      <c r="AN44" s="159"/>
      <c r="AO44" s="159"/>
      <c r="AP44" s="159"/>
      <c r="AQ44" s="159"/>
      <c r="AR44" s="159"/>
      <c r="AS44" s="159"/>
      <c r="AT44" s="159"/>
      <c r="AU44" s="159"/>
      <c r="AV44" s="159"/>
      <c r="AW44" s="159"/>
      <c r="AX44" s="159"/>
      <c r="AY44" s="159"/>
      <c r="AZ44" s="159"/>
      <c r="BA44" s="159"/>
      <c r="BB44" s="159"/>
      <c r="BC44" s="159"/>
      <c r="BD44" s="159"/>
      <c r="BE44" s="159"/>
      <c r="BF44" s="159"/>
      <c r="BG44" s="159"/>
      <c r="BH44" s="159"/>
      <c r="BI44" s="159"/>
      <c r="BJ44" s="159"/>
      <c r="BK44" s="159"/>
      <c r="BL44" s="159"/>
      <c r="BM44" s="159"/>
      <c r="BN44" s="159"/>
      <c r="BO44" s="159"/>
      <c r="BP44" s="159"/>
      <c r="BQ44" s="159"/>
      <c r="BR44" s="159"/>
      <c r="BS44" s="159"/>
      <c r="BT44" s="159"/>
      <c r="BU44" s="159"/>
      <c r="BV44" s="159"/>
      <c r="BW44" s="159"/>
      <c r="BX44" s="159"/>
      <c r="BY44" s="159"/>
      <c r="BZ44" s="159"/>
      <c r="CA44" s="159"/>
      <c r="CB44" s="159"/>
      <c r="CC44" s="159"/>
      <c r="CD44" s="159"/>
      <c r="CE44" s="159"/>
      <c r="CF44" s="159"/>
      <c r="CG44" s="159"/>
      <c r="CH44" s="159"/>
      <c r="CI44" s="159"/>
      <c r="CJ44" s="159"/>
      <c r="CK44" s="159"/>
      <c r="CL44" s="159"/>
      <c r="CM44" s="159"/>
      <c r="CN44" s="159"/>
      <c r="CO44" s="159"/>
      <c r="CP44" s="159"/>
      <c r="CQ44" s="159"/>
      <c r="CR44" s="159"/>
      <c r="CS44" s="159"/>
      <c r="CT44" s="159"/>
      <c r="CU44" s="159"/>
      <c r="CV44" s="159"/>
      <c r="CW44" s="159"/>
      <c r="CX44" s="159"/>
      <c r="CY44" s="159"/>
      <c r="CZ44" s="159"/>
      <c r="DA44" s="159"/>
      <c r="DB44" s="159"/>
      <c r="DC44" s="159"/>
      <c r="DD44" s="159"/>
      <c r="DE44" s="159"/>
      <c r="DF44" s="159"/>
      <c r="DG44" s="159"/>
      <c r="DH44" s="159"/>
      <c r="DI44" s="159"/>
      <c r="DJ44" s="159"/>
      <c r="DK44" s="159"/>
      <c r="DL44" s="159"/>
      <c r="DM44" s="159"/>
      <c r="DN44" s="159"/>
      <c r="DO44" s="159"/>
      <c r="DP44" s="159"/>
      <c r="DQ44" s="159"/>
      <c r="DR44" s="159"/>
      <c r="DS44" s="159"/>
      <c r="DT44" s="159"/>
      <c r="DU44" s="159"/>
      <c r="DV44" s="159"/>
      <c r="DW44" s="159"/>
      <c r="DX44" s="159"/>
      <c r="DY44" s="159"/>
      <c r="DZ44" s="159"/>
      <c r="EA44" s="159"/>
      <c r="EB44" s="159"/>
      <c r="EC44" s="159"/>
      <c r="ED44" s="159"/>
      <c r="EE44" s="159"/>
      <c r="EF44" s="159"/>
      <c r="EG44" s="159"/>
      <c r="EH44" s="159"/>
      <c r="EI44" s="159"/>
      <c r="EJ44" s="159"/>
      <c r="EK44" s="159"/>
      <c r="EL44" s="159"/>
      <c r="EM44" s="159"/>
      <c r="EN44" s="159"/>
      <c r="EO44" s="159"/>
      <c r="EP44" s="159"/>
      <c r="EQ44" s="159"/>
      <c r="ER44" s="159"/>
      <c r="ES44" s="159"/>
      <c r="ET44" s="159"/>
      <c r="EU44" s="159"/>
      <c r="EV44" s="159"/>
      <c r="EW44" s="159"/>
      <c r="EX44" s="159"/>
      <c r="EY44" s="159"/>
      <c r="EZ44" s="159"/>
      <c r="FA44" s="159"/>
      <c r="FB44" s="159"/>
      <c r="FC44" s="159"/>
      <c r="FD44" s="159"/>
      <c r="FE44" s="159"/>
      <c r="FF44" s="159"/>
      <c r="FG44" s="159"/>
      <c r="FH44" s="159"/>
      <c r="FI44" s="159"/>
      <c r="FJ44" s="159"/>
      <c r="FK44" s="159"/>
      <c r="FL44" s="159"/>
      <c r="FM44" s="159"/>
      <c r="FN44" s="159"/>
      <c r="FO44" s="159"/>
      <c r="FP44" s="159"/>
      <c r="FQ44" s="159"/>
      <c r="FR44" s="159"/>
      <c r="FS44" s="159"/>
      <c r="FT44" s="159"/>
      <c r="FU44" s="159"/>
      <c r="FV44" s="159"/>
      <c r="FW44" s="159"/>
      <c r="FX44" s="159"/>
      <c r="FY44" s="159"/>
      <c r="FZ44" s="159"/>
      <c r="GA44" s="159"/>
      <c r="GB44" s="159"/>
      <c r="GC44" s="159"/>
      <c r="GD44" s="159"/>
      <c r="GE44" s="159"/>
      <c r="GF44" s="159"/>
      <c r="GG44" s="159"/>
      <c r="GH44" s="159"/>
      <c r="GI44" s="159"/>
      <c r="GJ44" s="159"/>
      <c r="GK44" s="159"/>
      <c r="GL44" s="159"/>
      <c r="GM44" s="159"/>
      <c r="GN44" s="159"/>
      <c r="GO44" s="159"/>
      <c r="GP44" s="159"/>
      <c r="GQ44" s="159"/>
      <c r="GR44" s="159"/>
      <c r="GS44" s="159"/>
      <c r="GT44" s="159"/>
      <c r="GU44" s="159"/>
      <c r="GV44" s="159"/>
      <c r="GW44" s="159"/>
      <c r="GX44" s="159"/>
      <c r="GY44" s="159"/>
      <c r="GZ44" s="159"/>
      <c r="HA44" s="159"/>
      <c r="HB44" s="159"/>
      <c r="HC44" s="159"/>
      <c r="HD44" s="159"/>
      <c r="HE44" s="159"/>
      <c r="HF44" s="159"/>
      <c r="HG44" s="159"/>
      <c r="HH44" s="159"/>
      <c r="HI44" s="159"/>
      <c r="HJ44" s="159"/>
      <c r="HK44" s="159"/>
      <c r="HL44" s="159"/>
      <c r="HM44" s="159"/>
      <c r="HN44" s="159"/>
      <c r="HO44" s="159"/>
      <c r="HP44" s="159"/>
      <c r="HQ44" s="159"/>
      <c r="HR44" s="159"/>
      <c r="HS44" s="159"/>
      <c r="HT44" s="159"/>
      <c r="HU44" s="159"/>
      <c r="HV44" s="159"/>
      <c r="HW44" s="159"/>
      <c r="HX44" s="159"/>
      <c r="HY44" s="159"/>
      <c r="HZ44" s="159"/>
      <c r="IA44" s="159"/>
      <c r="IB44" s="159"/>
      <c r="IC44" s="159"/>
      <c r="ID44" s="159"/>
      <c r="IE44" s="159"/>
      <c r="IF44" s="159"/>
      <c r="IG44" s="159"/>
      <c r="IH44" s="159"/>
      <c r="II44" s="159"/>
      <c r="IJ44" s="159"/>
      <c r="IK44" s="159"/>
      <c r="IL44" s="159"/>
      <c r="IM44" s="159"/>
      <c r="IN44" s="159"/>
      <c r="IO44" s="159"/>
      <c r="IP44" s="159"/>
      <c r="IQ44" s="159"/>
      <c r="IR44" s="159"/>
      <c r="IS44" s="159"/>
      <c r="IT44" s="159"/>
      <c r="IU44" s="159"/>
      <c r="IV44" s="159"/>
      <c r="IW44" s="159"/>
      <c r="IX44" s="159"/>
      <c r="IY44" s="159"/>
      <c r="IZ44" s="159"/>
      <c r="JA44" s="159"/>
      <c r="JB44" s="159"/>
      <c r="JC44" s="159"/>
      <c r="JD44" s="159"/>
      <c r="JE44" s="159"/>
      <c r="JF44" s="159"/>
      <c r="JG44" s="159"/>
      <c r="JH44" s="159"/>
      <c r="JI44" s="159"/>
      <c r="JJ44" s="159"/>
      <c r="JK44" s="159"/>
      <c r="JL44" s="159"/>
      <c r="JM44" s="159"/>
      <c r="JN44" s="159"/>
      <c r="JO44" s="159"/>
      <c r="JP44" s="159"/>
      <c r="JQ44" s="159"/>
      <c r="JR44" s="159"/>
      <c r="JS44" s="159"/>
      <c r="JT44" s="159"/>
      <c r="JU44" s="159"/>
      <c r="JV44" s="159"/>
      <c r="JW44" s="159"/>
      <c r="JX44" s="159"/>
      <c r="JY44" s="159"/>
      <c r="JZ44" s="159"/>
      <c r="KA44" s="159"/>
      <c r="KB44" s="159"/>
      <c r="KC44" s="159"/>
      <c r="KD44" s="159"/>
      <c r="KE44" s="159"/>
      <c r="KF44" s="159"/>
      <c r="KG44" s="159"/>
      <c r="KH44" s="159"/>
      <c r="KI44" s="159"/>
      <c r="KJ44" s="159"/>
      <c r="KK44" s="159"/>
      <c r="KL44" s="159"/>
      <c r="KM44" s="159"/>
      <c r="KN44" s="159"/>
      <c r="KO44" s="159"/>
      <c r="KP44" s="159"/>
      <c r="KQ44" s="159"/>
      <c r="KR44" s="159"/>
      <c r="KS44" s="159"/>
      <c r="KT44" s="159"/>
      <c r="KU44" s="159"/>
      <c r="KV44" s="159"/>
      <c r="KW44" s="159"/>
      <c r="KX44" s="159"/>
      <c r="KY44" s="159"/>
      <c r="KZ44" s="159"/>
      <c r="LA44" s="159"/>
      <c r="LB44" s="159"/>
      <c r="LC44" s="159"/>
      <c r="LD44" s="159"/>
      <c r="LE44" s="159"/>
      <c r="LF44" s="159"/>
      <c r="LG44" s="159"/>
      <c r="LH44" s="159"/>
      <c r="LI44" s="159"/>
      <c r="LJ44" s="159"/>
      <c r="LK44" s="159"/>
      <c r="LL44" s="159"/>
      <c r="LM44" s="159"/>
      <c r="LN44" s="159"/>
      <c r="LO44" s="159"/>
      <c r="LP44" s="159"/>
      <c r="LQ44" s="159"/>
      <c r="LR44" s="159"/>
      <c r="LS44" s="159"/>
      <c r="LT44" s="159"/>
      <c r="LU44" s="159"/>
      <c r="LV44" s="159"/>
      <c r="LW44" s="159"/>
      <c r="LX44" s="159"/>
      <c r="LY44" s="159"/>
      <c r="LZ44" s="159"/>
      <c r="MA44" s="159"/>
      <c r="MB44" s="159"/>
      <c r="MC44" s="159"/>
      <c r="MD44" s="159"/>
      <c r="ME44" s="159"/>
      <c r="MF44" s="159"/>
      <c r="MG44" s="159"/>
      <c r="MH44" s="159"/>
      <c r="MI44" s="159"/>
      <c r="MJ44" s="159"/>
      <c r="MK44" s="159"/>
      <c r="ML44" s="159"/>
      <c r="MM44" s="159"/>
      <c r="MN44" s="159"/>
      <c r="MO44" s="159"/>
      <c r="MP44" s="159"/>
      <c r="MQ44" s="159"/>
      <c r="MR44" s="159"/>
      <c r="MS44" s="159"/>
      <c r="MT44" s="159"/>
      <c r="MU44" s="159"/>
      <c r="MV44" s="159"/>
      <c r="MW44" s="159"/>
      <c r="MX44" s="159"/>
      <c r="MY44" s="159"/>
      <c r="MZ44" s="159"/>
      <c r="NA44" s="159"/>
      <c r="NB44" s="159"/>
      <c r="NC44" s="159"/>
      <c r="ND44" s="159"/>
      <c r="NE44" s="159"/>
      <c r="NF44" s="159"/>
      <c r="NG44" s="159"/>
      <c r="NH44" s="159"/>
      <c r="NI44" s="159"/>
      <c r="NJ44" s="159"/>
      <c r="NK44" s="159"/>
      <c r="NL44" s="159"/>
      <c r="NM44" s="159"/>
      <c r="NN44" s="159"/>
      <c r="NO44" s="159"/>
      <c r="NP44" s="159"/>
      <c r="NQ44" s="159"/>
      <c r="NR44" s="159"/>
      <c r="NS44" s="159"/>
      <c r="NT44" s="159"/>
      <c r="NU44" s="159"/>
      <c r="NV44" s="159"/>
      <c r="NW44" s="159"/>
      <c r="NX44" s="159"/>
      <c r="NY44" s="159"/>
      <c r="NZ44" s="159"/>
      <c r="OA44" s="159"/>
      <c r="OB44" s="159"/>
      <c r="OC44" s="159"/>
      <c r="OD44" s="159"/>
      <c r="OE44" s="159"/>
      <c r="OF44" s="159"/>
      <c r="OG44" s="159"/>
      <c r="OH44" s="159"/>
      <c r="OI44" s="159"/>
      <c r="OJ44" s="159"/>
      <c r="OK44" s="159"/>
      <c r="OL44" s="159"/>
      <c r="OM44" s="159"/>
      <c r="ON44" s="159"/>
      <c r="OO44" s="159"/>
      <c r="OP44" s="159"/>
      <c r="OQ44" s="159"/>
      <c r="OR44" s="159"/>
      <c r="OS44" s="159"/>
      <c r="OT44" s="159"/>
      <c r="OU44" s="159"/>
      <c r="OV44" s="159"/>
      <c r="OW44" s="159"/>
      <c r="OX44" s="159"/>
      <c r="OY44" s="159"/>
      <c r="OZ44" s="159"/>
      <c r="PA44" s="159"/>
      <c r="PB44" s="159"/>
      <c r="PC44" s="159"/>
      <c r="PD44" s="159"/>
      <c r="PE44" s="159"/>
      <c r="PF44" s="159"/>
      <c r="PG44" s="159"/>
      <c r="PH44" s="159"/>
      <c r="PI44" s="159"/>
      <c r="PJ44" s="159"/>
      <c r="PK44" s="159"/>
      <c r="PL44" s="159"/>
      <c r="PM44" s="159"/>
      <c r="PN44" s="159"/>
      <c r="PO44" s="159"/>
      <c r="PP44" s="159"/>
      <c r="PQ44" s="159"/>
      <c r="PR44" s="159"/>
      <c r="PS44" s="159"/>
      <c r="PT44" s="159"/>
      <c r="PU44" s="159"/>
      <c r="PV44" s="159"/>
      <c r="PW44" s="159"/>
      <c r="PX44" s="159"/>
      <c r="PY44" s="159"/>
      <c r="PZ44" s="159"/>
      <c r="QA44" s="159"/>
      <c r="QB44" s="159"/>
      <c r="QC44" s="159"/>
      <c r="QD44" s="159"/>
      <c r="QE44" s="159"/>
      <c r="QF44" s="159"/>
      <c r="QG44" s="159"/>
      <c r="QH44" s="159"/>
      <c r="QI44" s="159"/>
      <c r="QJ44" s="159"/>
      <c r="QK44" s="159"/>
      <c r="QL44" s="159"/>
      <c r="QM44" s="159"/>
      <c r="QN44" s="159"/>
      <c r="QO44" s="159"/>
      <c r="QP44" s="159"/>
      <c r="QQ44" s="159"/>
      <c r="QR44" s="159"/>
      <c r="QS44" s="159"/>
      <c r="QT44" s="159"/>
      <c r="QU44" s="159"/>
      <c r="QV44" s="159"/>
      <c r="QW44" s="159"/>
      <c r="QX44" s="159"/>
      <c r="QY44" s="159"/>
      <c r="QZ44" s="159"/>
      <c r="RA44" s="159"/>
      <c r="RB44" s="159"/>
      <c r="RC44" s="159"/>
      <c r="RD44" s="159"/>
      <c r="RE44" s="159"/>
      <c r="RF44" s="159"/>
      <c r="RG44" s="159"/>
      <c r="RH44" s="159"/>
      <c r="RI44" s="159"/>
      <c r="RJ44" s="159"/>
      <c r="RK44" s="159"/>
      <c r="RL44" s="159"/>
      <c r="RM44" s="159"/>
      <c r="RN44" s="159"/>
      <c r="RO44" s="159"/>
      <c r="RP44" s="159"/>
      <c r="RQ44" s="159"/>
      <c r="RR44" s="159"/>
      <c r="RS44" s="159"/>
      <c r="RT44" s="159"/>
      <c r="RU44" s="159"/>
      <c r="RV44" s="159"/>
      <c r="RW44" s="159"/>
      <c r="RX44" s="159"/>
      <c r="RY44" s="159"/>
      <c r="RZ44" s="159"/>
      <c r="SA44" s="159"/>
      <c r="SB44" s="159"/>
      <c r="SC44" s="159"/>
      <c r="SD44" s="159"/>
      <c r="SE44" s="159"/>
      <c r="SF44" s="159"/>
      <c r="SG44" s="159"/>
      <c r="SH44" s="159"/>
      <c r="SI44" s="159"/>
      <c r="SJ44" s="159"/>
      <c r="SK44" s="159"/>
      <c r="SL44" s="159"/>
      <c r="SM44" s="159"/>
      <c r="SN44" s="159"/>
      <c r="SO44" s="159"/>
      <c r="SP44" s="159"/>
      <c r="SQ44" s="159"/>
      <c r="SR44" s="159"/>
      <c r="SS44" s="159"/>
      <c r="ST44" s="159"/>
      <c r="SU44" s="159"/>
      <c r="SV44" s="159"/>
      <c r="SW44" s="159"/>
      <c r="SX44" s="159"/>
      <c r="SY44" s="159"/>
      <c r="SZ44" s="159"/>
      <c r="TA44" s="159"/>
      <c r="TB44" s="159"/>
      <c r="TC44" s="159"/>
      <c r="TD44" s="159"/>
      <c r="TE44" s="159"/>
      <c r="TF44" s="159"/>
      <c r="TG44" s="159"/>
      <c r="TH44" s="159"/>
      <c r="TI44" s="159"/>
      <c r="TJ44" s="159"/>
      <c r="TK44" s="159"/>
      <c r="TL44" s="159"/>
      <c r="TM44" s="159"/>
      <c r="TN44" s="159"/>
      <c r="TO44" s="159"/>
      <c r="TP44" s="159"/>
      <c r="TQ44" s="159"/>
      <c r="TR44" s="159"/>
      <c r="TS44" s="159"/>
      <c r="TT44" s="159"/>
      <c r="TU44" s="159"/>
      <c r="TV44" s="159"/>
      <c r="TW44" s="159"/>
      <c r="TX44" s="159"/>
      <c r="TY44" s="159"/>
      <c r="TZ44" s="159"/>
      <c r="UA44" s="159"/>
      <c r="UB44" s="159"/>
      <c r="UC44" s="159"/>
      <c r="UD44" s="159"/>
      <c r="UE44" s="159"/>
      <c r="UF44" s="159"/>
      <c r="UG44" s="159"/>
      <c r="UH44" s="159"/>
      <c r="UI44" s="159"/>
      <c r="UJ44" s="159"/>
      <c r="UK44" s="159"/>
      <c r="UL44" s="159"/>
      <c r="UM44" s="159"/>
      <c r="UN44" s="159"/>
      <c r="UO44" s="159"/>
      <c r="UP44" s="159"/>
      <c r="UQ44" s="159"/>
      <c r="UR44" s="159"/>
      <c r="US44" s="159"/>
      <c r="UT44" s="159"/>
      <c r="UU44" s="159"/>
      <c r="UV44" s="159"/>
      <c r="UW44" s="159"/>
      <c r="UX44" s="159"/>
      <c r="UY44" s="159"/>
      <c r="UZ44" s="159"/>
      <c r="VA44" s="159"/>
      <c r="VB44" s="159"/>
      <c r="VC44" s="159"/>
      <c r="VD44" s="159"/>
      <c r="VE44" s="159"/>
      <c r="VF44" s="159"/>
      <c r="VG44" s="159"/>
      <c r="VH44" s="159"/>
      <c r="VI44" s="159"/>
      <c r="VJ44" s="159"/>
      <c r="VK44" s="159"/>
      <c r="VL44" s="159"/>
      <c r="VM44" s="159"/>
      <c r="VN44" s="159"/>
      <c r="VO44" s="159"/>
      <c r="VP44" s="159"/>
      <c r="VQ44" s="159"/>
      <c r="VR44" s="159"/>
      <c r="VS44" s="159"/>
      <c r="VT44" s="159"/>
      <c r="VU44" s="159"/>
      <c r="VV44" s="159"/>
      <c r="VW44" s="159"/>
      <c r="VX44" s="159"/>
      <c r="VY44" s="159"/>
      <c r="VZ44" s="159"/>
      <c r="WA44" s="159"/>
      <c r="WB44" s="159"/>
      <c r="WC44" s="159"/>
      <c r="WD44" s="159"/>
      <c r="WE44" s="159"/>
      <c r="WF44" s="159"/>
      <c r="WG44" s="159"/>
      <c r="WH44" s="159"/>
      <c r="WI44" s="159"/>
      <c r="WJ44" s="159"/>
      <c r="WK44" s="159"/>
      <c r="WL44" s="159"/>
      <c r="WM44" s="159"/>
      <c r="WN44" s="159"/>
      <c r="WO44" s="159"/>
      <c r="WP44" s="159"/>
      <c r="WQ44" s="159"/>
      <c r="WR44" s="159"/>
      <c r="WS44" s="159"/>
      <c r="WT44" s="159"/>
      <c r="WU44" s="159"/>
      <c r="WV44" s="159"/>
      <c r="WW44" s="159"/>
      <c r="WX44" s="159"/>
      <c r="WY44" s="159"/>
      <c r="WZ44" s="159"/>
      <c r="XA44" s="159"/>
      <c r="XB44" s="159"/>
      <c r="XC44" s="159"/>
      <c r="XD44" s="159"/>
      <c r="XE44" s="159"/>
      <c r="XF44" s="159"/>
      <c r="XG44" s="159"/>
      <c r="XH44" s="159"/>
      <c r="XI44" s="159"/>
      <c r="XJ44" s="159"/>
      <c r="XK44" s="159"/>
      <c r="XL44" s="159"/>
      <c r="XM44" s="159"/>
      <c r="XN44" s="159"/>
      <c r="XO44" s="159"/>
      <c r="XP44" s="159"/>
      <c r="XQ44" s="159"/>
      <c r="XR44" s="159"/>
      <c r="XS44" s="159"/>
      <c r="XT44" s="159"/>
      <c r="XU44" s="159"/>
      <c r="XV44" s="159"/>
      <c r="XW44" s="159"/>
      <c r="XX44" s="159"/>
      <c r="XY44" s="159"/>
      <c r="XZ44" s="159"/>
      <c r="YA44" s="159"/>
      <c r="YB44" s="159"/>
      <c r="YC44" s="159"/>
      <c r="YD44" s="159"/>
      <c r="YE44" s="159"/>
      <c r="YF44" s="159"/>
      <c r="YG44" s="159"/>
      <c r="YH44" s="159"/>
      <c r="YI44" s="159"/>
      <c r="YJ44" s="159"/>
      <c r="YK44" s="159"/>
      <c r="YL44" s="159"/>
      <c r="YM44" s="159"/>
      <c r="YN44" s="159"/>
      <c r="YO44" s="159"/>
      <c r="YP44" s="159"/>
      <c r="YQ44" s="159"/>
      <c r="YR44" s="159"/>
      <c r="YS44" s="159"/>
      <c r="YT44" s="159"/>
      <c r="YU44" s="159"/>
      <c r="YV44" s="159"/>
      <c r="YW44" s="159"/>
      <c r="YX44" s="159"/>
      <c r="YY44" s="159"/>
      <c r="YZ44" s="159"/>
      <c r="ZA44" s="159"/>
      <c r="ZB44" s="159"/>
      <c r="ZC44" s="159"/>
      <c r="ZD44" s="159"/>
      <c r="ZE44" s="159"/>
      <c r="ZF44" s="159"/>
      <c r="ZG44" s="159"/>
      <c r="ZH44" s="159"/>
      <c r="ZI44" s="159"/>
      <c r="ZJ44" s="159"/>
      <c r="ZK44" s="159"/>
      <c r="ZL44" s="159"/>
      <c r="ZM44" s="159"/>
      <c r="ZN44" s="159"/>
      <c r="ZO44" s="159"/>
      <c r="ZP44" s="159"/>
      <c r="ZQ44" s="159"/>
      <c r="ZR44" s="159"/>
      <c r="ZS44" s="159"/>
      <c r="ZT44" s="159"/>
      <c r="ZU44" s="159"/>
      <c r="ZV44" s="159"/>
      <c r="ZW44" s="159"/>
      <c r="ZX44" s="159"/>
      <c r="ZY44" s="159"/>
      <c r="ZZ44" s="159"/>
      <c r="AAA44" s="159"/>
      <c r="AAB44" s="159"/>
      <c r="AAC44" s="159"/>
      <c r="AAD44" s="159"/>
      <c r="AAE44" s="159"/>
      <c r="AAF44" s="159"/>
      <c r="AAG44" s="159"/>
      <c r="AAH44" s="159"/>
      <c r="AAI44" s="159"/>
      <c r="AAJ44" s="159"/>
      <c r="AAK44" s="159"/>
      <c r="AAL44" s="159"/>
      <c r="AAM44" s="159"/>
      <c r="AAN44" s="159"/>
      <c r="AAO44" s="159"/>
      <c r="AAP44" s="159"/>
      <c r="AAQ44" s="159"/>
      <c r="AAR44" s="159"/>
      <c r="AAS44" s="159"/>
      <c r="AAT44" s="159"/>
      <c r="AAU44" s="159"/>
      <c r="AAV44" s="159"/>
      <c r="AAW44" s="159"/>
      <c r="AAX44" s="159"/>
      <c r="AAY44" s="159"/>
      <c r="AAZ44" s="159"/>
      <c r="ABA44" s="159"/>
      <c r="ABB44" s="159"/>
      <c r="ABC44" s="159"/>
      <c r="ABD44" s="159"/>
      <c r="ABE44" s="159"/>
      <c r="ABF44" s="159"/>
      <c r="ABG44" s="159"/>
      <c r="ABH44" s="159"/>
      <c r="ABI44" s="159"/>
      <c r="ABJ44" s="159"/>
      <c r="ABK44" s="159"/>
      <c r="ABL44" s="159"/>
      <c r="ABM44" s="159"/>
      <c r="ABN44" s="159"/>
      <c r="ABO44" s="159"/>
      <c r="ABP44" s="159"/>
      <c r="ABQ44" s="159"/>
      <c r="ABR44" s="159"/>
      <c r="ABS44" s="159"/>
      <c r="ABT44" s="159"/>
      <c r="ABU44" s="159"/>
      <c r="ABV44" s="159"/>
      <c r="ABW44" s="159"/>
      <c r="ABX44" s="159"/>
      <c r="ABY44" s="159"/>
      <c r="ABZ44" s="159"/>
      <c r="ACA44" s="159"/>
      <c r="ACB44" s="159"/>
      <c r="ACC44" s="159"/>
      <c r="ACD44" s="159"/>
      <c r="ACE44" s="159"/>
      <c r="ACF44" s="159"/>
      <c r="ACG44" s="159"/>
      <c r="ACH44" s="159"/>
      <c r="ACI44" s="159"/>
      <c r="ACJ44" s="159"/>
      <c r="ACK44" s="159"/>
      <c r="ACL44" s="159"/>
      <c r="ACM44" s="159"/>
      <c r="ACN44" s="159"/>
      <c r="ACO44" s="159"/>
      <c r="ACP44" s="159"/>
      <c r="ACQ44" s="159"/>
      <c r="ACR44" s="159"/>
      <c r="ACS44" s="159"/>
      <c r="ACT44" s="159"/>
      <c r="ACU44" s="159"/>
      <c r="ACV44" s="159"/>
      <c r="ACW44" s="159"/>
      <c r="ACX44" s="159"/>
      <c r="ACY44" s="159"/>
      <c r="ACZ44" s="159"/>
      <c r="ADA44" s="159"/>
      <c r="ADB44" s="159"/>
      <c r="ADC44" s="159"/>
      <c r="ADD44" s="159"/>
      <c r="ADE44" s="159"/>
      <c r="ADF44" s="159"/>
      <c r="ADG44" s="159"/>
      <c r="ADH44" s="159"/>
      <c r="ADI44" s="159"/>
      <c r="ADJ44" s="159"/>
      <c r="ADK44" s="159"/>
      <c r="ADL44" s="159"/>
      <c r="ADM44" s="159"/>
      <c r="ADN44" s="159"/>
      <c r="ADO44" s="159"/>
      <c r="ADP44" s="159"/>
      <c r="ADQ44" s="159"/>
      <c r="ADR44" s="159"/>
      <c r="ADS44" s="159"/>
      <c r="ADT44" s="159"/>
      <c r="ADU44" s="159"/>
      <c r="ADV44" s="159"/>
      <c r="ADW44" s="159"/>
      <c r="ADX44" s="159"/>
      <c r="ADY44" s="159"/>
      <c r="ADZ44" s="159"/>
      <c r="AEA44" s="159"/>
      <c r="AEB44" s="159"/>
      <c r="AEC44" s="159"/>
      <c r="AED44" s="159"/>
      <c r="AEE44" s="159"/>
      <c r="AEF44" s="159"/>
      <c r="AEG44" s="159"/>
      <c r="AEH44" s="159"/>
      <c r="AEI44" s="159"/>
      <c r="AEJ44" s="159"/>
      <c r="AEK44" s="159"/>
      <c r="AEL44" s="159"/>
      <c r="AEM44" s="159"/>
      <c r="AEN44" s="159"/>
      <c r="AEO44" s="159"/>
      <c r="AEP44" s="159"/>
      <c r="AEQ44" s="159"/>
      <c r="AER44" s="159"/>
      <c r="AES44" s="159"/>
      <c r="AET44" s="159"/>
      <c r="AEU44" s="159"/>
      <c r="AEV44" s="159"/>
      <c r="AEW44" s="159"/>
      <c r="AEX44" s="159"/>
      <c r="AEY44" s="159"/>
      <c r="AEZ44" s="159"/>
      <c r="AFA44" s="159"/>
      <c r="AFB44" s="159"/>
      <c r="AFC44" s="159"/>
      <c r="AFD44" s="159"/>
      <c r="AFE44" s="159"/>
      <c r="AFF44" s="159"/>
      <c r="AFG44" s="159"/>
      <c r="AFH44" s="159"/>
      <c r="AFI44" s="159"/>
      <c r="AFJ44" s="159"/>
      <c r="AFK44" s="159"/>
      <c r="AFL44" s="159"/>
      <c r="AFM44" s="159"/>
      <c r="AFN44" s="159"/>
      <c r="AFO44" s="159"/>
      <c r="AFP44" s="159"/>
      <c r="AFQ44" s="159"/>
      <c r="AFR44" s="159"/>
      <c r="AFS44" s="159"/>
      <c r="AFT44" s="159"/>
      <c r="AFU44" s="159"/>
      <c r="AFV44" s="159"/>
      <c r="AFW44" s="159"/>
      <c r="AFX44" s="159"/>
      <c r="AFY44" s="159"/>
      <c r="AFZ44" s="159"/>
      <c r="AGA44" s="159"/>
      <c r="AGB44" s="159"/>
      <c r="AGC44" s="159"/>
      <c r="AGD44" s="159"/>
      <c r="AGE44" s="159"/>
      <c r="AGF44" s="159"/>
      <c r="AGG44" s="159"/>
      <c r="AGH44" s="159"/>
      <c r="AGI44" s="159"/>
      <c r="AGJ44" s="159"/>
      <c r="AGK44" s="159"/>
      <c r="AGL44" s="159"/>
      <c r="AGM44" s="159"/>
      <c r="AGN44" s="159"/>
      <c r="AGO44" s="159"/>
      <c r="AGP44" s="159"/>
      <c r="AGQ44" s="159"/>
      <c r="AGR44" s="159"/>
      <c r="AGS44" s="159"/>
      <c r="AGT44" s="159"/>
      <c r="AGU44" s="159"/>
      <c r="AGV44" s="159"/>
      <c r="AGW44" s="159"/>
      <c r="AGX44" s="159"/>
      <c r="AGY44" s="159"/>
      <c r="AGZ44" s="159"/>
      <c r="AHA44" s="159"/>
      <c r="AHB44" s="159"/>
      <c r="AHC44" s="159"/>
      <c r="AHD44" s="159"/>
      <c r="AHE44" s="159"/>
      <c r="AHF44" s="159"/>
      <c r="AHG44" s="159"/>
      <c r="AHH44" s="159"/>
      <c r="AHI44" s="159"/>
      <c r="AHJ44" s="159"/>
      <c r="AHK44" s="159"/>
      <c r="AHL44" s="159"/>
      <c r="AHM44" s="159"/>
      <c r="AHN44" s="159"/>
      <c r="AHO44" s="159"/>
      <c r="AHP44" s="159"/>
      <c r="AHQ44" s="159"/>
      <c r="AHR44" s="159"/>
      <c r="AHS44" s="159"/>
      <c r="AHT44" s="159"/>
      <c r="AHU44" s="159"/>
      <c r="AHV44" s="159"/>
      <c r="AHW44" s="159"/>
      <c r="AHX44" s="159"/>
      <c r="AHY44" s="159"/>
      <c r="AHZ44" s="159"/>
      <c r="AIA44" s="159"/>
      <c r="AIB44" s="159"/>
      <c r="AIC44" s="159"/>
      <c r="AID44" s="159"/>
      <c r="AIE44" s="159"/>
      <c r="AIF44" s="159"/>
      <c r="AIG44" s="159"/>
      <c r="AIH44" s="159"/>
      <c r="AII44" s="159"/>
      <c r="AIJ44" s="159"/>
      <c r="AIK44" s="159"/>
      <c r="AIL44" s="159"/>
      <c r="AIM44" s="159"/>
      <c r="AIN44" s="159"/>
      <c r="AIO44" s="159"/>
      <c r="AIP44" s="159"/>
      <c r="AIQ44" s="159"/>
      <c r="AIR44" s="159"/>
      <c r="AIS44" s="159"/>
      <c r="AIT44" s="159"/>
      <c r="AIU44" s="159"/>
      <c r="AIV44" s="159"/>
      <c r="AIW44" s="159"/>
      <c r="AIX44" s="159"/>
      <c r="AIY44" s="159"/>
      <c r="AIZ44" s="159"/>
      <c r="AJA44" s="159"/>
      <c r="AJB44" s="159"/>
      <c r="AJC44" s="159"/>
      <c r="AJD44" s="159"/>
      <c r="AJE44" s="159"/>
      <c r="AJF44" s="159"/>
      <c r="AJG44" s="159"/>
      <c r="AJH44" s="159"/>
      <c r="AJI44" s="159"/>
      <c r="AJJ44" s="159"/>
      <c r="AJK44" s="159"/>
      <c r="AJL44" s="159"/>
      <c r="AJM44" s="159"/>
      <c r="AJN44" s="159"/>
      <c r="AJO44" s="159"/>
      <c r="AJP44" s="159"/>
      <c r="AJQ44" s="159"/>
      <c r="AJR44" s="159"/>
      <c r="AJS44" s="159"/>
      <c r="AJT44" s="159"/>
      <c r="AJU44" s="159"/>
      <c r="AJV44" s="159"/>
      <c r="AJW44" s="159"/>
      <c r="AJX44" s="159"/>
      <c r="AJY44" s="159"/>
      <c r="AJZ44" s="159"/>
      <c r="AKA44" s="159"/>
      <c r="AKB44" s="159"/>
      <c r="AKC44" s="159"/>
      <c r="AKD44" s="159"/>
      <c r="AKE44" s="159"/>
      <c r="AKF44" s="159"/>
      <c r="AKG44" s="159"/>
      <c r="AKH44" s="159"/>
      <c r="AKI44" s="159"/>
      <c r="AKJ44" s="159"/>
      <c r="AKK44" s="159"/>
      <c r="AKL44" s="159"/>
      <c r="AKM44" s="159"/>
      <c r="AKN44" s="159"/>
      <c r="AKO44" s="159"/>
      <c r="AKP44" s="159"/>
      <c r="AKQ44" s="159"/>
      <c r="AKR44" s="159"/>
      <c r="AKS44" s="159"/>
      <c r="AKT44" s="159"/>
      <c r="AKU44" s="159"/>
      <c r="AKV44" s="159"/>
      <c r="AKW44" s="159"/>
      <c r="AKX44" s="159"/>
      <c r="AKY44" s="159"/>
      <c r="AKZ44" s="159"/>
      <c r="ALA44" s="159"/>
      <c r="ALB44" s="159"/>
      <c r="ALC44" s="159"/>
      <c r="ALD44" s="159"/>
      <c r="ALE44" s="159"/>
      <c r="ALF44" s="159"/>
      <c r="ALG44" s="159"/>
      <c r="ALH44" s="159"/>
      <c r="ALI44" s="159"/>
      <c r="ALJ44" s="159"/>
      <c r="ALK44" s="159"/>
      <c r="ALL44" s="159"/>
      <c r="ALM44" s="159"/>
      <c r="ALN44" s="159"/>
      <c r="ALO44" s="159"/>
      <c r="ALP44" s="159"/>
      <c r="ALQ44" s="159"/>
      <c r="ALR44" s="159"/>
      <c r="ALS44" s="159"/>
      <c r="ALT44" s="159"/>
      <c r="ALU44" s="159"/>
      <c r="ALV44" s="159"/>
      <c r="ALW44" s="159"/>
      <c r="ALX44" s="159"/>
      <c r="ALY44" s="159"/>
      <c r="ALZ44" s="159"/>
      <c r="AMA44" s="159"/>
      <c r="AMB44" s="159"/>
      <c r="AMC44" s="159"/>
      <c r="AMD44" s="159"/>
      <c r="AME44" s="159"/>
      <c r="AMF44" s="159"/>
      <c r="AMG44" s="159"/>
      <c r="AMH44" s="159"/>
      <c r="AMI44" s="159"/>
      <c r="AMJ44" s="159"/>
      <c r="AMK44" s="159"/>
      <c r="AML44" s="159"/>
      <c r="AMM44" s="159"/>
      <c r="AMN44" s="159"/>
      <c r="AMO44" s="159"/>
      <c r="AMP44" s="159"/>
      <c r="AMQ44" s="159"/>
      <c r="AMR44" s="159"/>
      <c r="AMS44" s="159"/>
      <c r="AMT44" s="159"/>
      <c r="AMU44" s="159"/>
      <c r="AMV44" s="159"/>
      <c r="AMW44" s="159"/>
      <c r="AMX44" s="159"/>
      <c r="AMY44" s="159"/>
      <c r="AMZ44" s="159"/>
      <c r="ANA44" s="159"/>
      <c r="ANB44" s="159"/>
      <c r="ANC44" s="159"/>
      <c r="AND44" s="159"/>
      <c r="ANE44" s="159"/>
      <c r="ANF44" s="159"/>
      <c r="ANG44" s="159"/>
      <c r="ANH44" s="159"/>
      <c r="ANI44" s="159"/>
      <c r="ANJ44" s="159"/>
      <c r="ANK44" s="159"/>
      <c r="ANL44" s="159"/>
      <c r="ANM44" s="159"/>
      <c r="ANN44" s="159"/>
      <c r="ANO44" s="159"/>
      <c r="ANP44" s="159"/>
      <c r="ANQ44" s="159"/>
      <c r="ANR44" s="159"/>
      <c r="ANS44" s="159"/>
      <c r="ANT44" s="159"/>
      <c r="ANU44" s="159"/>
      <c r="ANV44" s="159"/>
      <c r="ANW44" s="159"/>
      <c r="ANX44" s="159"/>
      <c r="ANY44" s="159"/>
      <c r="ANZ44" s="159"/>
      <c r="AOA44" s="159"/>
      <c r="AOB44" s="159"/>
      <c r="AOC44" s="159"/>
      <c r="AOD44" s="159"/>
      <c r="AOE44" s="159"/>
      <c r="AOF44" s="159"/>
      <c r="AOG44" s="159"/>
      <c r="AOH44" s="159"/>
      <c r="AOI44" s="159"/>
      <c r="AOJ44" s="159"/>
      <c r="AOK44" s="159"/>
      <c r="AOL44" s="159"/>
      <c r="AOM44" s="159"/>
      <c r="AON44" s="159"/>
      <c r="AOO44" s="159"/>
      <c r="AOP44" s="159"/>
      <c r="AOQ44" s="159"/>
      <c r="AOR44" s="159"/>
      <c r="AOS44" s="159"/>
      <c r="AOT44" s="159"/>
      <c r="AOU44" s="159"/>
      <c r="AOV44" s="159"/>
      <c r="AOW44" s="159"/>
      <c r="AOX44" s="159"/>
      <c r="AOY44" s="159"/>
      <c r="AOZ44" s="159"/>
      <c r="APA44" s="159"/>
      <c r="APB44" s="159"/>
      <c r="APC44" s="159"/>
      <c r="APD44" s="159"/>
      <c r="APE44" s="159"/>
      <c r="APF44" s="159"/>
      <c r="APG44" s="159"/>
      <c r="APH44" s="159"/>
      <c r="API44" s="159"/>
      <c r="APJ44" s="159"/>
      <c r="APK44" s="159"/>
      <c r="APL44" s="159"/>
      <c r="APM44" s="159"/>
      <c r="APN44" s="159"/>
      <c r="APO44" s="159"/>
      <c r="APP44" s="159"/>
      <c r="APQ44" s="159"/>
      <c r="APR44" s="159"/>
      <c r="APS44" s="159"/>
      <c r="APT44" s="159"/>
      <c r="APU44" s="159"/>
      <c r="APV44" s="159"/>
      <c r="APW44" s="159"/>
      <c r="APX44" s="159"/>
      <c r="APY44" s="159"/>
      <c r="APZ44" s="159"/>
      <c r="AQA44" s="159"/>
      <c r="AQB44" s="159"/>
      <c r="AQC44" s="159"/>
      <c r="AQD44" s="159"/>
      <c r="AQE44" s="159"/>
      <c r="AQF44" s="159"/>
      <c r="AQG44" s="159"/>
      <c r="AQH44" s="159"/>
      <c r="AQI44" s="159"/>
      <c r="AQJ44" s="159"/>
      <c r="AQK44" s="159"/>
      <c r="AQL44" s="159"/>
      <c r="AQM44" s="159"/>
      <c r="AQN44" s="159"/>
      <c r="AQO44" s="159"/>
      <c r="AQP44" s="159"/>
      <c r="AQQ44" s="159"/>
      <c r="AQR44" s="159"/>
      <c r="AQS44" s="159"/>
      <c r="AQT44" s="159"/>
      <c r="AQU44" s="159"/>
      <c r="AQV44" s="159"/>
      <c r="AQW44" s="159"/>
      <c r="AQX44" s="159"/>
      <c r="AQY44" s="159"/>
      <c r="AQZ44" s="159"/>
      <c r="ARA44" s="159"/>
      <c r="ARB44" s="159"/>
      <c r="ARC44" s="159"/>
      <c r="ARD44" s="159"/>
      <c r="ARE44" s="159"/>
      <c r="ARF44" s="159"/>
      <c r="ARG44" s="159"/>
      <c r="ARH44" s="159"/>
      <c r="ARI44" s="159"/>
      <c r="ARJ44" s="159"/>
      <c r="ARK44" s="159"/>
      <c r="ARL44" s="159"/>
      <c r="ARM44" s="159"/>
      <c r="ARN44" s="159"/>
      <c r="ARO44" s="159"/>
      <c r="ARP44" s="159"/>
      <c r="ARQ44" s="159"/>
      <c r="ARR44" s="159"/>
      <c r="ARS44" s="159"/>
      <c r="ART44" s="159"/>
      <c r="ARU44" s="159"/>
      <c r="ARV44" s="159"/>
      <c r="ARW44" s="159"/>
      <c r="ARX44" s="159"/>
      <c r="ARY44" s="159"/>
      <c r="ARZ44" s="159"/>
      <c r="ASA44" s="159"/>
      <c r="ASB44" s="159"/>
      <c r="ASC44" s="159"/>
      <c r="ASD44" s="159"/>
      <c r="ASE44" s="159"/>
      <c r="ASF44" s="159"/>
      <c r="ASG44" s="159"/>
      <c r="ASH44" s="159"/>
      <c r="ASI44" s="159"/>
      <c r="ASJ44" s="159"/>
      <c r="ASK44" s="159"/>
      <c r="ASL44" s="159"/>
      <c r="ASM44" s="159"/>
      <c r="ASN44" s="159"/>
      <c r="ASO44" s="159"/>
      <c r="ASP44" s="159"/>
      <c r="ASQ44" s="159"/>
      <c r="ASR44" s="159"/>
      <c r="ASS44" s="159"/>
      <c r="AST44" s="159"/>
      <c r="ASU44" s="159"/>
      <c r="ASV44" s="159"/>
      <c r="ASW44" s="159"/>
      <c r="ASX44" s="159"/>
      <c r="ASY44" s="159"/>
      <c r="ASZ44" s="159"/>
      <c r="ATA44" s="159"/>
      <c r="ATB44" s="159"/>
      <c r="ATC44" s="159"/>
      <c r="ATD44" s="159"/>
      <c r="ATE44" s="159"/>
      <c r="ATF44" s="159"/>
      <c r="ATG44" s="159"/>
      <c r="ATH44" s="159"/>
      <c r="ATI44" s="159"/>
      <c r="ATJ44" s="159"/>
      <c r="ATK44" s="159"/>
      <c r="ATL44" s="159"/>
      <c r="ATM44" s="159"/>
      <c r="ATN44" s="159"/>
      <c r="ATO44" s="159"/>
      <c r="ATP44" s="159"/>
      <c r="ATQ44" s="159"/>
      <c r="ATR44" s="159"/>
      <c r="ATS44" s="159"/>
      <c r="ATT44" s="159"/>
      <c r="ATU44" s="159"/>
      <c r="ATV44" s="159"/>
      <c r="ATW44" s="159"/>
      <c r="ATX44" s="159"/>
      <c r="ATY44" s="159"/>
      <c r="ATZ44" s="159"/>
      <c r="AUA44" s="159"/>
      <c r="AUB44" s="159"/>
      <c r="AUC44" s="159"/>
      <c r="AUD44" s="159"/>
      <c r="AUE44" s="159"/>
      <c r="AUF44" s="159"/>
      <c r="AUG44" s="159"/>
      <c r="AUH44" s="159"/>
      <c r="AUI44" s="159"/>
      <c r="AUJ44" s="159"/>
      <c r="AUK44" s="159"/>
      <c r="AUL44" s="159"/>
      <c r="AUM44" s="159"/>
      <c r="AUN44" s="159"/>
      <c r="AUO44" s="159"/>
      <c r="AUP44" s="159"/>
      <c r="AUQ44" s="159"/>
      <c r="AUR44" s="159"/>
      <c r="AUS44" s="159"/>
      <c r="AUT44" s="159"/>
      <c r="AUU44" s="159"/>
      <c r="AUV44" s="159"/>
      <c r="AUW44" s="159"/>
      <c r="AUX44" s="159"/>
      <c r="AUY44" s="159"/>
      <c r="AUZ44" s="159"/>
      <c r="AVA44" s="159"/>
      <c r="AVB44" s="159"/>
      <c r="AVC44" s="159"/>
      <c r="AVD44" s="159"/>
      <c r="AVE44" s="159"/>
      <c r="AVF44" s="159"/>
      <c r="AVG44" s="159"/>
      <c r="AVH44" s="159"/>
      <c r="AVI44" s="159"/>
      <c r="AVJ44" s="159"/>
      <c r="AVK44" s="159"/>
      <c r="AVL44" s="159"/>
      <c r="AVM44" s="159"/>
      <c r="AVN44" s="159"/>
      <c r="AVO44" s="159"/>
      <c r="AVP44" s="159"/>
      <c r="AVQ44" s="159"/>
      <c r="AVR44" s="159"/>
      <c r="AVS44" s="159"/>
      <c r="AVT44" s="159"/>
      <c r="AVU44" s="159"/>
      <c r="AVV44" s="159"/>
      <c r="AVW44" s="159"/>
      <c r="AVX44" s="159"/>
      <c r="AVY44" s="159"/>
      <c r="AVZ44" s="159"/>
      <c r="AWA44" s="159"/>
      <c r="AWB44" s="159"/>
      <c r="AWC44" s="159"/>
      <c r="AWD44" s="159"/>
      <c r="AWE44" s="159"/>
      <c r="AWF44" s="159"/>
      <c r="AWG44" s="159"/>
      <c r="AWH44" s="159"/>
      <c r="AWI44" s="159"/>
      <c r="AWJ44" s="159"/>
      <c r="AWK44" s="159"/>
      <c r="AWL44" s="159"/>
      <c r="AWM44" s="159"/>
      <c r="AWN44" s="159"/>
      <c r="AWO44" s="159"/>
      <c r="AWP44" s="159"/>
      <c r="AWQ44" s="159"/>
      <c r="AWR44" s="159"/>
      <c r="AWS44" s="159"/>
      <c r="AWT44" s="159"/>
      <c r="AWU44" s="159"/>
      <c r="AWV44" s="159"/>
      <c r="AWW44" s="159"/>
      <c r="AWX44" s="159"/>
      <c r="AWY44" s="159"/>
      <c r="AWZ44" s="159"/>
      <c r="AXA44" s="159"/>
      <c r="AXB44" s="159"/>
      <c r="AXC44" s="159"/>
      <c r="AXD44" s="159"/>
      <c r="AXE44" s="159"/>
      <c r="AXF44" s="159"/>
      <c r="AXG44" s="159"/>
      <c r="AXH44" s="159"/>
      <c r="AXI44" s="159"/>
      <c r="AXJ44" s="159"/>
      <c r="AXK44" s="159"/>
      <c r="AXL44" s="159"/>
      <c r="AXM44" s="159"/>
      <c r="AXN44" s="159"/>
      <c r="AXO44" s="159"/>
      <c r="AXP44" s="159"/>
      <c r="AXQ44" s="159"/>
      <c r="AXR44" s="159"/>
      <c r="AXS44" s="159"/>
      <c r="AXT44" s="159"/>
      <c r="AXU44" s="159"/>
      <c r="AXV44" s="159"/>
      <c r="AXW44" s="159"/>
      <c r="AXX44" s="159"/>
      <c r="AXY44" s="159"/>
      <c r="AXZ44" s="159"/>
      <c r="AYA44" s="159"/>
      <c r="AYB44" s="159"/>
      <c r="AYC44" s="159"/>
      <c r="AYD44" s="159"/>
      <c r="AYE44" s="159"/>
      <c r="AYF44" s="159"/>
      <c r="AYG44" s="159"/>
      <c r="AYH44" s="159"/>
      <c r="AYI44" s="159"/>
      <c r="AYJ44" s="159"/>
      <c r="AYK44" s="159"/>
      <c r="AYL44" s="159"/>
      <c r="AYM44" s="159"/>
      <c r="AYN44" s="159"/>
      <c r="AYO44" s="159"/>
      <c r="AYP44" s="159"/>
      <c r="AYQ44" s="159"/>
      <c r="AYR44" s="159"/>
      <c r="AYS44" s="159"/>
      <c r="AYT44" s="159"/>
      <c r="AYU44" s="159"/>
      <c r="AYV44" s="159"/>
      <c r="AYW44" s="159"/>
      <c r="AYX44" s="159"/>
      <c r="AYY44" s="159"/>
      <c r="AYZ44" s="159"/>
      <c r="AZA44" s="159"/>
      <c r="AZB44" s="159"/>
      <c r="AZC44" s="159"/>
      <c r="AZD44" s="159"/>
      <c r="AZE44" s="159"/>
      <c r="AZF44" s="159"/>
      <c r="AZG44" s="159"/>
      <c r="AZH44" s="159"/>
      <c r="AZI44" s="159"/>
      <c r="AZJ44" s="159"/>
      <c r="AZK44" s="159"/>
      <c r="AZL44" s="159"/>
      <c r="AZM44" s="159"/>
      <c r="AZN44" s="159"/>
      <c r="AZO44" s="159"/>
      <c r="AZP44" s="159"/>
      <c r="AZQ44" s="159"/>
      <c r="AZR44" s="159"/>
      <c r="AZS44" s="159"/>
      <c r="AZT44" s="159"/>
      <c r="AZU44" s="159"/>
      <c r="AZV44" s="159"/>
      <c r="AZW44" s="159"/>
      <c r="AZX44" s="159"/>
      <c r="AZY44" s="159"/>
      <c r="AZZ44" s="159"/>
      <c r="BAA44" s="159"/>
      <c r="BAB44" s="159"/>
      <c r="BAC44" s="159"/>
      <c r="BAD44" s="159"/>
      <c r="BAE44" s="159"/>
      <c r="BAF44" s="159"/>
      <c r="BAG44" s="159"/>
      <c r="BAH44" s="159"/>
      <c r="BAI44" s="159"/>
      <c r="BAJ44" s="159"/>
      <c r="BAK44" s="159"/>
      <c r="BAL44" s="159"/>
      <c r="BAM44" s="159"/>
      <c r="BAN44" s="159"/>
      <c r="BAO44" s="159"/>
      <c r="BAP44" s="159"/>
      <c r="BAQ44" s="159"/>
      <c r="BAR44" s="159"/>
      <c r="BAS44" s="159"/>
      <c r="BAT44" s="159"/>
      <c r="BAU44" s="159"/>
      <c r="BAV44" s="159"/>
      <c r="BAW44" s="159"/>
      <c r="BAX44" s="159"/>
      <c r="BAY44" s="159"/>
      <c r="BAZ44" s="159"/>
      <c r="BBA44" s="159"/>
      <c r="BBB44" s="159"/>
      <c r="BBC44" s="159"/>
      <c r="BBD44" s="159"/>
      <c r="BBE44" s="159"/>
      <c r="BBF44" s="159"/>
      <c r="BBG44" s="159"/>
      <c r="BBH44" s="159"/>
      <c r="BBI44" s="159"/>
      <c r="BBJ44" s="159"/>
      <c r="BBK44" s="159"/>
      <c r="BBL44" s="159"/>
      <c r="BBM44" s="159"/>
      <c r="BBN44" s="159"/>
      <c r="BBO44" s="159"/>
      <c r="BBP44" s="159"/>
      <c r="BBQ44" s="159"/>
      <c r="BBR44" s="159"/>
      <c r="BBS44" s="159"/>
      <c r="BBT44" s="159"/>
      <c r="BBU44" s="159"/>
      <c r="BBV44" s="159"/>
      <c r="BBW44" s="159"/>
      <c r="BBX44" s="159"/>
      <c r="BBY44" s="159"/>
      <c r="BBZ44" s="159"/>
      <c r="BCA44" s="159"/>
      <c r="BCB44" s="159"/>
      <c r="BCC44" s="159"/>
      <c r="BCD44" s="159"/>
      <c r="BCE44" s="159"/>
      <c r="BCF44" s="159"/>
      <c r="BCG44" s="159"/>
      <c r="BCH44" s="159"/>
      <c r="BCI44" s="159"/>
      <c r="BCJ44" s="159"/>
      <c r="BCK44" s="159"/>
      <c r="BCL44" s="159"/>
      <c r="BCM44" s="159"/>
      <c r="BCN44" s="159"/>
      <c r="BCO44" s="159"/>
      <c r="BCP44" s="159"/>
      <c r="BCQ44" s="159"/>
      <c r="BCR44" s="159"/>
      <c r="BCS44" s="159"/>
      <c r="BCT44" s="159"/>
      <c r="BCU44" s="159"/>
      <c r="BCV44" s="159"/>
      <c r="BCW44" s="159"/>
      <c r="BCX44" s="159"/>
      <c r="BCY44" s="159"/>
      <c r="BCZ44" s="159"/>
      <c r="BDA44" s="159"/>
      <c r="BDB44" s="159"/>
      <c r="BDC44" s="159"/>
      <c r="BDD44" s="159"/>
      <c r="BDE44" s="159"/>
      <c r="BDF44" s="159"/>
      <c r="BDG44" s="159"/>
      <c r="BDH44" s="159"/>
      <c r="BDI44" s="159"/>
      <c r="BDJ44" s="159"/>
      <c r="BDK44" s="159"/>
      <c r="BDL44" s="159"/>
      <c r="BDM44" s="159"/>
      <c r="BDN44" s="159"/>
      <c r="BDO44" s="159"/>
      <c r="BDP44" s="159"/>
      <c r="BDQ44" s="159"/>
      <c r="BDR44" s="159"/>
      <c r="BDS44" s="159"/>
      <c r="BDT44" s="159"/>
      <c r="BDU44" s="159"/>
      <c r="BDV44" s="159"/>
      <c r="BDW44" s="159"/>
      <c r="BDX44" s="159"/>
      <c r="BDY44" s="159"/>
      <c r="BDZ44" s="159"/>
      <c r="BEA44" s="159"/>
      <c r="BEB44" s="159"/>
      <c r="BEC44" s="159"/>
      <c r="BED44" s="159"/>
      <c r="BEE44" s="159"/>
      <c r="BEF44" s="159"/>
      <c r="BEG44" s="159"/>
      <c r="BEH44" s="159"/>
      <c r="BEI44" s="159"/>
      <c r="BEJ44" s="159"/>
      <c r="BEK44" s="159"/>
      <c r="BEL44" s="159"/>
      <c r="BEM44" s="159"/>
      <c r="BEN44" s="159"/>
      <c r="BEO44" s="159"/>
      <c r="BEP44" s="159"/>
      <c r="BEQ44" s="159"/>
      <c r="BER44" s="159"/>
      <c r="BES44" s="159"/>
      <c r="BET44" s="159"/>
      <c r="BEU44" s="159"/>
      <c r="BEV44" s="159"/>
      <c r="BEW44" s="159"/>
      <c r="BEX44" s="159"/>
      <c r="BEY44" s="159"/>
      <c r="BEZ44" s="159"/>
      <c r="BFA44" s="159"/>
      <c r="BFB44" s="159"/>
      <c r="BFC44" s="159"/>
      <c r="BFD44" s="159"/>
      <c r="BFE44" s="159"/>
      <c r="BFF44" s="159"/>
      <c r="BFG44" s="159"/>
      <c r="BFH44" s="159"/>
      <c r="BFI44" s="159"/>
      <c r="BFJ44" s="159"/>
      <c r="BFK44" s="159"/>
      <c r="BFL44" s="159"/>
      <c r="BFM44" s="159"/>
      <c r="BFN44" s="159"/>
      <c r="BFO44" s="159"/>
      <c r="BFP44" s="159"/>
      <c r="BFQ44" s="159"/>
      <c r="BFR44" s="159"/>
      <c r="BFS44" s="159"/>
      <c r="BFT44" s="159"/>
      <c r="BFU44" s="159"/>
      <c r="BFV44" s="159"/>
      <c r="BFW44" s="159"/>
      <c r="BFX44" s="159"/>
      <c r="BFY44" s="159"/>
      <c r="BFZ44" s="159"/>
      <c r="BGA44" s="159"/>
      <c r="BGB44" s="159"/>
      <c r="BGC44" s="159"/>
      <c r="BGD44" s="159"/>
      <c r="BGE44" s="159"/>
      <c r="BGF44" s="159"/>
      <c r="BGG44" s="159"/>
      <c r="BGH44" s="159"/>
      <c r="BGI44" s="159"/>
      <c r="BGJ44" s="159"/>
      <c r="BGK44" s="159"/>
      <c r="BGL44" s="159"/>
      <c r="BGM44" s="159"/>
      <c r="BGN44" s="159"/>
      <c r="BGO44" s="159"/>
      <c r="BGP44" s="159"/>
      <c r="BGQ44" s="159"/>
      <c r="BGR44" s="159"/>
      <c r="BGS44" s="159"/>
      <c r="BGT44" s="159"/>
      <c r="BGU44" s="159"/>
      <c r="BGV44" s="159"/>
      <c r="BGW44" s="159"/>
      <c r="BGX44" s="159"/>
      <c r="BGY44" s="159"/>
      <c r="BGZ44" s="159"/>
      <c r="BHA44" s="159"/>
      <c r="BHB44" s="159"/>
      <c r="BHC44" s="159"/>
      <c r="BHD44" s="159"/>
      <c r="BHE44" s="159"/>
      <c r="BHF44" s="159"/>
      <c r="BHG44" s="159"/>
      <c r="BHH44" s="159"/>
      <c r="BHI44" s="159"/>
      <c r="BHJ44" s="159"/>
      <c r="BHK44" s="159"/>
      <c r="BHL44" s="159"/>
      <c r="BHM44" s="159"/>
      <c r="BHN44" s="159"/>
      <c r="BHO44" s="159"/>
      <c r="BHP44" s="159"/>
      <c r="BHQ44" s="159"/>
      <c r="BHR44" s="159"/>
      <c r="BHS44" s="159"/>
      <c r="BHT44" s="159"/>
      <c r="BHU44" s="159"/>
      <c r="BHV44" s="159"/>
      <c r="BHW44" s="159"/>
      <c r="BHX44" s="159"/>
      <c r="BHY44" s="159"/>
      <c r="BHZ44" s="159"/>
      <c r="BIA44" s="159"/>
      <c r="BIB44" s="159"/>
      <c r="BIC44" s="159"/>
      <c r="BID44" s="159"/>
      <c r="BIE44" s="159"/>
      <c r="BIF44" s="159"/>
      <c r="BIG44" s="159"/>
      <c r="BIH44" s="159"/>
      <c r="BII44" s="159"/>
      <c r="BIJ44" s="159"/>
      <c r="BIK44" s="159"/>
      <c r="BIL44" s="159"/>
      <c r="BIM44" s="159"/>
      <c r="BIN44" s="159"/>
      <c r="BIO44" s="159"/>
      <c r="BIP44" s="159"/>
      <c r="BIQ44" s="159"/>
      <c r="BIR44" s="159"/>
      <c r="BIS44" s="159"/>
      <c r="BIT44" s="159"/>
      <c r="BIU44" s="159"/>
      <c r="BIV44" s="159"/>
      <c r="BIW44" s="159"/>
      <c r="BIX44" s="159"/>
      <c r="BIY44" s="159"/>
      <c r="BIZ44" s="159"/>
      <c r="BJA44" s="159"/>
      <c r="BJB44" s="159"/>
      <c r="BJC44" s="159"/>
      <c r="BJD44" s="159"/>
      <c r="BJE44" s="159"/>
      <c r="BJF44" s="159"/>
      <c r="BJG44" s="159"/>
      <c r="BJH44" s="159"/>
      <c r="BJI44" s="159"/>
      <c r="BJJ44" s="159"/>
      <c r="BJK44" s="159"/>
      <c r="BJL44" s="159"/>
      <c r="BJM44" s="159"/>
      <c r="BJN44" s="159"/>
      <c r="BJO44" s="159"/>
      <c r="BJP44" s="159"/>
      <c r="BJQ44" s="159"/>
      <c r="BJR44" s="159"/>
      <c r="BJS44" s="159"/>
      <c r="BJT44" s="159"/>
      <c r="BJU44" s="159"/>
      <c r="BJV44" s="159"/>
      <c r="BJW44" s="159"/>
      <c r="BJX44" s="159"/>
      <c r="BJY44" s="159"/>
      <c r="BJZ44" s="159"/>
      <c r="BKA44" s="159"/>
      <c r="BKB44" s="159"/>
      <c r="BKC44" s="159"/>
      <c r="BKD44" s="159"/>
      <c r="BKE44" s="159"/>
      <c r="BKF44" s="159"/>
      <c r="BKG44" s="159"/>
      <c r="BKH44" s="159"/>
      <c r="BKI44" s="159"/>
      <c r="BKJ44" s="159"/>
      <c r="BKK44" s="159"/>
      <c r="BKL44" s="159"/>
      <c r="BKM44" s="159"/>
      <c r="BKN44" s="159"/>
      <c r="BKO44" s="159"/>
      <c r="BKP44" s="159"/>
      <c r="BKQ44" s="159"/>
      <c r="BKR44" s="159"/>
      <c r="BKS44" s="159"/>
      <c r="BKT44" s="159"/>
      <c r="BKU44" s="159"/>
      <c r="BKV44" s="159"/>
      <c r="BKW44" s="159"/>
      <c r="BKX44" s="159"/>
      <c r="BKY44" s="159"/>
      <c r="BKZ44" s="159"/>
      <c r="BLA44" s="159"/>
      <c r="BLB44" s="159"/>
      <c r="BLC44" s="159"/>
      <c r="BLD44" s="159"/>
      <c r="BLE44" s="159"/>
      <c r="BLF44" s="159"/>
      <c r="BLG44" s="159"/>
      <c r="BLH44" s="159"/>
      <c r="BLI44" s="159"/>
      <c r="BLJ44" s="159"/>
      <c r="BLK44" s="159"/>
      <c r="BLL44" s="159"/>
      <c r="BLM44" s="159"/>
      <c r="BLN44" s="159"/>
      <c r="BLO44" s="159"/>
      <c r="BLP44" s="159"/>
      <c r="BLQ44" s="159"/>
      <c r="BLR44" s="159"/>
      <c r="BLS44" s="159"/>
      <c r="BLT44" s="159"/>
      <c r="BLU44" s="159"/>
      <c r="BLV44" s="159"/>
      <c r="BLW44" s="159"/>
      <c r="BLX44" s="159"/>
      <c r="BLY44" s="159"/>
      <c r="BLZ44" s="159"/>
      <c r="BMA44" s="159"/>
      <c r="BMB44" s="159"/>
      <c r="BMC44" s="159"/>
      <c r="BMD44" s="159"/>
      <c r="BME44" s="159"/>
      <c r="BMF44" s="159"/>
      <c r="BMG44" s="159"/>
      <c r="BMH44" s="159"/>
      <c r="BMI44" s="159"/>
      <c r="BMJ44" s="159"/>
      <c r="BMK44" s="159"/>
      <c r="BML44" s="159"/>
      <c r="BMM44" s="159"/>
      <c r="BMN44" s="159"/>
      <c r="BMO44" s="159"/>
      <c r="BMP44" s="159"/>
      <c r="BMQ44" s="159"/>
      <c r="BMR44" s="159"/>
      <c r="BMS44" s="159"/>
      <c r="BMT44" s="159"/>
      <c r="BMU44" s="159"/>
      <c r="BMV44" s="159"/>
      <c r="BMW44" s="159"/>
      <c r="BMX44" s="159"/>
      <c r="BMY44" s="159"/>
      <c r="BMZ44" s="159"/>
      <c r="BNA44" s="159"/>
      <c r="BNB44" s="159"/>
      <c r="BNC44" s="159"/>
      <c r="BND44" s="159"/>
      <c r="BNE44" s="159"/>
      <c r="BNF44" s="159"/>
      <c r="BNG44" s="159"/>
      <c r="BNH44" s="159"/>
      <c r="BNI44" s="159"/>
      <c r="BNJ44" s="159"/>
      <c r="BNK44" s="159"/>
      <c r="BNL44" s="159"/>
      <c r="BNM44" s="159"/>
      <c r="BNN44" s="159"/>
      <c r="BNO44" s="159"/>
      <c r="BNP44" s="159"/>
      <c r="BNQ44" s="159"/>
      <c r="BNR44" s="159"/>
      <c r="BNS44" s="159"/>
      <c r="BNT44" s="159"/>
      <c r="BNU44" s="159"/>
      <c r="BNV44" s="159"/>
      <c r="BNW44" s="159"/>
      <c r="BNX44" s="159"/>
      <c r="BNY44" s="159"/>
      <c r="BNZ44" s="159"/>
      <c r="BOA44" s="159"/>
      <c r="BOB44" s="159"/>
      <c r="BOC44" s="159"/>
      <c r="BOD44" s="159"/>
      <c r="BOE44" s="159"/>
      <c r="BOF44" s="159"/>
      <c r="BOG44" s="159"/>
      <c r="BOH44" s="159"/>
      <c r="BOI44" s="159"/>
      <c r="BOJ44" s="159"/>
      <c r="BOK44" s="159"/>
      <c r="BOL44" s="159"/>
      <c r="BOM44" s="159"/>
      <c r="BON44" s="159"/>
      <c r="BOO44" s="159"/>
      <c r="BOP44" s="159"/>
      <c r="BOQ44" s="159"/>
      <c r="BOR44" s="159"/>
      <c r="BOS44" s="159"/>
      <c r="BOT44" s="159"/>
      <c r="BOU44" s="159"/>
      <c r="BOV44" s="159"/>
      <c r="BOW44" s="159"/>
      <c r="BOX44" s="159"/>
      <c r="BOY44" s="159"/>
      <c r="BOZ44" s="159"/>
      <c r="BPA44" s="159"/>
      <c r="BPB44" s="159"/>
      <c r="BPC44" s="159"/>
      <c r="BPD44" s="159"/>
      <c r="BPE44" s="159"/>
      <c r="BPF44" s="159"/>
      <c r="BPG44" s="159"/>
      <c r="BPH44" s="159"/>
      <c r="BPI44" s="159"/>
      <c r="BPJ44" s="159"/>
      <c r="BPK44" s="159"/>
      <c r="BPL44" s="159"/>
      <c r="BPM44" s="159"/>
      <c r="BPN44" s="159"/>
      <c r="BPO44" s="159"/>
      <c r="BPP44" s="159"/>
      <c r="BPQ44" s="159"/>
      <c r="BPR44" s="159"/>
      <c r="BPS44" s="159"/>
      <c r="BPT44" s="159"/>
      <c r="BPU44" s="159"/>
      <c r="BPV44" s="159"/>
      <c r="BPW44" s="159"/>
      <c r="BPX44" s="159"/>
      <c r="BPY44" s="159"/>
      <c r="BPZ44" s="159"/>
      <c r="BQA44" s="159"/>
      <c r="BQB44" s="159"/>
      <c r="BQC44" s="159"/>
      <c r="BQD44" s="159"/>
      <c r="BQE44" s="159"/>
      <c r="BQF44" s="159"/>
      <c r="BQG44" s="159"/>
      <c r="BQH44" s="159"/>
      <c r="BQI44" s="159"/>
      <c r="BQJ44" s="159"/>
      <c r="BQK44" s="159"/>
      <c r="BQL44" s="159"/>
      <c r="BQM44" s="159"/>
      <c r="BQN44" s="159"/>
      <c r="BQO44" s="159"/>
      <c r="BQP44" s="159"/>
      <c r="BQQ44" s="159"/>
      <c r="BQR44" s="159"/>
      <c r="BQS44" s="159"/>
      <c r="BQT44" s="159"/>
      <c r="BQU44" s="159"/>
      <c r="BQV44" s="159"/>
      <c r="BQW44" s="159"/>
      <c r="BQX44" s="159"/>
      <c r="BQY44" s="159"/>
      <c r="BQZ44" s="159"/>
      <c r="BRA44" s="159"/>
      <c r="BRB44" s="159"/>
      <c r="BRC44" s="159"/>
      <c r="BRD44" s="159"/>
      <c r="BRE44" s="159"/>
      <c r="BRF44" s="159"/>
      <c r="BRG44" s="159"/>
      <c r="BRH44" s="159"/>
      <c r="BRI44" s="159"/>
      <c r="BRJ44" s="159"/>
      <c r="BRK44" s="159"/>
      <c r="BRL44" s="159"/>
      <c r="BRM44" s="159"/>
      <c r="BRN44" s="159"/>
      <c r="BRO44" s="159"/>
      <c r="BRP44" s="159"/>
      <c r="BRQ44" s="159"/>
      <c r="BRR44" s="159"/>
      <c r="BRS44" s="159"/>
      <c r="BRT44" s="159"/>
      <c r="BRU44" s="159"/>
      <c r="BRV44" s="159"/>
      <c r="BRW44" s="159"/>
      <c r="BRX44" s="159"/>
      <c r="BRY44" s="159"/>
      <c r="BRZ44" s="159"/>
      <c r="BSA44" s="159"/>
      <c r="BSB44" s="159"/>
      <c r="BSC44" s="159"/>
      <c r="BSD44" s="159"/>
      <c r="BSE44" s="159"/>
      <c r="BSF44" s="159"/>
      <c r="BSG44" s="159"/>
      <c r="BSH44" s="159"/>
      <c r="BSI44" s="159"/>
      <c r="BSJ44" s="159"/>
      <c r="BSK44" s="159"/>
      <c r="BSL44" s="159"/>
      <c r="BSM44" s="159"/>
      <c r="BSN44" s="159"/>
      <c r="BSO44" s="159"/>
      <c r="BSP44" s="159"/>
      <c r="BSQ44" s="159"/>
      <c r="BSR44" s="159"/>
      <c r="BSS44" s="159"/>
      <c r="BST44" s="159"/>
      <c r="BSU44" s="159"/>
      <c r="BSV44" s="159"/>
      <c r="BSW44" s="159"/>
      <c r="BSX44" s="159"/>
      <c r="BSY44" s="159"/>
      <c r="BSZ44" s="159"/>
      <c r="BTA44" s="159"/>
      <c r="BTB44" s="159"/>
      <c r="BTC44" s="159"/>
      <c r="BTD44" s="159"/>
      <c r="BTE44" s="159"/>
      <c r="BTF44" s="159"/>
      <c r="BTG44" s="159"/>
      <c r="BTH44" s="159"/>
      <c r="BTI44" s="159"/>
      <c r="BTJ44" s="159"/>
      <c r="BTK44" s="159"/>
      <c r="BTL44" s="159"/>
      <c r="BTM44" s="159"/>
      <c r="BTN44" s="159"/>
      <c r="BTO44" s="159"/>
      <c r="BTP44" s="159"/>
      <c r="BTQ44" s="159"/>
      <c r="BTR44" s="159"/>
      <c r="BTS44" s="159"/>
      <c r="BTT44" s="159"/>
      <c r="BTU44" s="159"/>
      <c r="BTV44" s="159"/>
      <c r="BTW44" s="159"/>
      <c r="BTX44" s="159"/>
      <c r="BTY44" s="159"/>
      <c r="BTZ44" s="159"/>
      <c r="BUA44" s="159"/>
      <c r="BUB44" s="159"/>
      <c r="BUC44" s="159"/>
      <c r="BUD44" s="159"/>
      <c r="BUE44" s="159"/>
      <c r="BUF44" s="159"/>
      <c r="BUG44" s="159"/>
      <c r="BUH44" s="159"/>
      <c r="BUI44" s="159"/>
      <c r="BUJ44" s="159"/>
      <c r="BUK44" s="159"/>
      <c r="BUL44" s="159"/>
      <c r="BUM44" s="159"/>
      <c r="BUN44" s="159"/>
      <c r="BUO44" s="159"/>
      <c r="BUP44" s="159"/>
      <c r="BUQ44" s="159"/>
      <c r="BUR44" s="159"/>
      <c r="BUS44" s="159"/>
      <c r="BUT44" s="159"/>
      <c r="BUU44" s="159"/>
      <c r="BUV44" s="159"/>
      <c r="BUW44" s="159"/>
      <c r="BUX44" s="159"/>
      <c r="BUY44" s="159"/>
      <c r="BUZ44" s="159"/>
      <c r="BVA44" s="159"/>
      <c r="BVB44" s="159"/>
      <c r="BVC44" s="159"/>
      <c r="BVD44" s="159"/>
      <c r="BVE44" s="159"/>
      <c r="BVF44" s="159"/>
      <c r="BVG44" s="159"/>
      <c r="BVH44" s="159"/>
      <c r="BVI44" s="159"/>
      <c r="BVJ44" s="159"/>
      <c r="BVK44" s="159"/>
      <c r="BVL44" s="159"/>
      <c r="BVM44" s="159"/>
      <c r="BVN44" s="159"/>
      <c r="BVO44" s="159"/>
      <c r="BVP44" s="159"/>
      <c r="BVQ44" s="159"/>
      <c r="BVR44" s="159"/>
      <c r="BVS44" s="159"/>
      <c r="BVT44" s="159"/>
      <c r="BVU44" s="159"/>
      <c r="BVV44" s="159"/>
      <c r="BVW44" s="159"/>
      <c r="BVX44" s="159"/>
      <c r="BVY44" s="159"/>
      <c r="BVZ44" s="159"/>
      <c r="BWA44" s="159"/>
      <c r="BWB44" s="159"/>
      <c r="BWC44" s="159"/>
      <c r="BWD44" s="159"/>
      <c r="BWE44" s="159"/>
      <c r="BWF44" s="159"/>
      <c r="BWG44" s="159"/>
      <c r="BWH44" s="159"/>
      <c r="BWI44" s="159"/>
      <c r="BWJ44" s="159"/>
      <c r="BWK44" s="159"/>
      <c r="BWL44" s="159"/>
      <c r="BWM44" s="159"/>
      <c r="BWN44" s="159"/>
      <c r="BWO44" s="159"/>
      <c r="BWP44" s="159"/>
      <c r="BWQ44" s="159"/>
      <c r="BWR44" s="159"/>
      <c r="BWS44" s="159"/>
      <c r="BWT44" s="159"/>
      <c r="BWU44" s="159"/>
      <c r="BWV44" s="159"/>
      <c r="BWW44" s="159"/>
      <c r="BWX44" s="159"/>
      <c r="BWY44" s="159"/>
      <c r="BWZ44" s="159"/>
      <c r="BXA44" s="159"/>
      <c r="BXB44" s="159"/>
      <c r="BXC44" s="159"/>
      <c r="BXD44" s="159"/>
      <c r="BXE44" s="159"/>
      <c r="BXF44" s="159"/>
      <c r="BXG44" s="159"/>
      <c r="BXH44" s="159"/>
      <c r="BXI44" s="159"/>
      <c r="BXJ44" s="159"/>
      <c r="BXK44" s="159"/>
      <c r="BXL44" s="159"/>
      <c r="BXM44" s="159"/>
      <c r="BXN44" s="159"/>
      <c r="BXO44" s="159"/>
      <c r="BXP44" s="159"/>
      <c r="BXQ44" s="159"/>
      <c r="BXR44" s="159"/>
      <c r="BXS44" s="159"/>
      <c r="BXT44" s="159"/>
      <c r="BXU44" s="159"/>
      <c r="BXV44" s="159"/>
      <c r="BXW44" s="159"/>
      <c r="BXX44" s="159"/>
      <c r="BXY44" s="159"/>
      <c r="BXZ44" s="159"/>
      <c r="BYA44" s="159"/>
      <c r="BYB44" s="159"/>
      <c r="BYC44" s="159"/>
      <c r="BYD44" s="159"/>
      <c r="BYE44" s="159"/>
      <c r="BYF44" s="159"/>
      <c r="BYG44" s="159"/>
      <c r="BYH44" s="159"/>
      <c r="BYI44" s="159"/>
      <c r="BYJ44" s="159"/>
      <c r="BYK44" s="159"/>
      <c r="BYL44" s="159"/>
      <c r="BYM44" s="159"/>
      <c r="BYN44" s="159"/>
      <c r="BYO44" s="159"/>
      <c r="BYP44" s="159"/>
      <c r="BYQ44" s="159"/>
      <c r="BYR44" s="159"/>
      <c r="BYS44" s="159"/>
      <c r="BYT44" s="159"/>
      <c r="BYU44" s="159"/>
      <c r="BYV44" s="159"/>
      <c r="BYW44" s="159"/>
      <c r="BYX44" s="159"/>
      <c r="BYY44" s="159"/>
      <c r="BYZ44" s="159"/>
      <c r="BZA44" s="159"/>
      <c r="BZB44" s="159"/>
      <c r="BZC44" s="159"/>
      <c r="BZD44" s="159"/>
      <c r="BZE44" s="159"/>
      <c r="BZF44" s="159"/>
      <c r="BZG44" s="159"/>
      <c r="BZH44" s="159"/>
      <c r="BZI44" s="159"/>
      <c r="BZJ44" s="159"/>
      <c r="BZK44" s="159"/>
      <c r="BZL44" s="159"/>
      <c r="BZM44" s="159"/>
      <c r="BZN44" s="159"/>
      <c r="BZO44" s="159"/>
      <c r="BZP44" s="159"/>
      <c r="BZQ44" s="159"/>
      <c r="BZR44" s="159"/>
      <c r="BZS44" s="159"/>
      <c r="BZT44" s="159"/>
      <c r="BZU44" s="159"/>
      <c r="BZV44" s="159"/>
      <c r="BZW44" s="159"/>
      <c r="BZX44" s="159"/>
      <c r="BZY44" s="159"/>
      <c r="BZZ44" s="159"/>
      <c r="CAA44" s="159"/>
      <c r="CAB44" s="159"/>
      <c r="CAC44" s="159"/>
      <c r="CAD44" s="159"/>
      <c r="CAE44" s="159"/>
      <c r="CAF44" s="159"/>
      <c r="CAG44" s="159"/>
      <c r="CAH44" s="159"/>
      <c r="CAI44" s="159"/>
      <c r="CAJ44" s="159"/>
      <c r="CAK44" s="159"/>
      <c r="CAL44" s="159"/>
      <c r="CAM44" s="159"/>
      <c r="CAN44" s="159"/>
      <c r="CAO44" s="159"/>
      <c r="CAP44" s="159"/>
      <c r="CAQ44" s="159"/>
      <c r="CAR44" s="159"/>
      <c r="CAS44" s="159"/>
      <c r="CAT44" s="159"/>
      <c r="CAU44" s="159"/>
      <c r="CAV44" s="159"/>
      <c r="CAW44" s="159"/>
      <c r="CAX44" s="159"/>
      <c r="CAY44" s="159"/>
      <c r="CAZ44" s="159"/>
      <c r="CBA44" s="159"/>
      <c r="CBB44" s="159"/>
      <c r="CBC44" s="159"/>
      <c r="CBD44" s="159"/>
      <c r="CBE44" s="159"/>
      <c r="CBF44" s="159"/>
      <c r="CBG44" s="159"/>
      <c r="CBH44" s="159"/>
      <c r="CBI44" s="159"/>
      <c r="CBJ44" s="159"/>
      <c r="CBK44" s="159"/>
      <c r="CBL44" s="159"/>
      <c r="CBM44" s="159"/>
      <c r="CBN44" s="159"/>
      <c r="CBO44" s="159"/>
      <c r="CBP44" s="159"/>
      <c r="CBQ44" s="159"/>
      <c r="CBR44" s="159"/>
      <c r="CBS44" s="159"/>
      <c r="CBT44" s="159"/>
      <c r="CBU44" s="159"/>
      <c r="CBV44" s="159"/>
      <c r="CBW44" s="159"/>
      <c r="CBX44" s="159"/>
      <c r="CBY44" s="159"/>
      <c r="CBZ44" s="159"/>
      <c r="CCA44" s="159"/>
      <c r="CCB44" s="159"/>
      <c r="CCC44" s="159"/>
      <c r="CCD44" s="159"/>
      <c r="CCE44" s="159"/>
      <c r="CCF44" s="159"/>
      <c r="CCG44" s="159"/>
      <c r="CCH44" s="159"/>
      <c r="CCI44" s="159"/>
      <c r="CCJ44" s="159"/>
      <c r="CCK44" s="159"/>
      <c r="CCL44" s="159"/>
      <c r="CCM44" s="159"/>
      <c r="CCN44" s="159"/>
      <c r="CCO44" s="159"/>
      <c r="CCP44" s="159"/>
      <c r="CCQ44" s="159"/>
      <c r="CCR44" s="159"/>
      <c r="CCS44" s="159"/>
      <c r="CCT44" s="159"/>
      <c r="CCU44" s="159"/>
      <c r="CCV44" s="159"/>
      <c r="CCW44" s="159"/>
      <c r="CCX44" s="159"/>
      <c r="CCY44" s="159"/>
      <c r="CCZ44" s="159"/>
      <c r="CDA44" s="159"/>
      <c r="CDB44" s="159"/>
      <c r="CDC44" s="159"/>
      <c r="CDD44" s="159"/>
      <c r="CDE44" s="159"/>
      <c r="CDF44" s="159"/>
      <c r="CDG44" s="159"/>
      <c r="CDH44" s="159"/>
      <c r="CDI44" s="159"/>
      <c r="CDJ44" s="159"/>
      <c r="CDK44" s="159"/>
      <c r="CDL44" s="159"/>
      <c r="CDM44" s="159"/>
      <c r="CDN44" s="159"/>
      <c r="CDO44" s="159"/>
      <c r="CDP44" s="159"/>
      <c r="CDQ44" s="159"/>
      <c r="CDR44" s="159"/>
      <c r="CDS44" s="159"/>
      <c r="CDT44" s="159"/>
      <c r="CDU44" s="159"/>
      <c r="CDV44" s="159"/>
      <c r="CDW44" s="159"/>
      <c r="CDX44" s="159"/>
      <c r="CDY44" s="159"/>
      <c r="CDZ44" s="159"/>
      <c r="CEA44" s="159"/>
      <c r="CEB44" s="159"/>
      <c r="CEC44" s="159"/>
      <c r="CED44" s="159"/>
      <c r="CEE44" s="159"/>
      <c r="CEF44" s="159"/>
      <c r="CEG44" s="159"/>
      <c r="CEH44" s="159"/>
      <c r="CEI44" s="159"/>
      <c r="CEJ44" s="159"/>
      <c r="CEK44" s="159"/>
      <c r="CEL44" s="159"/>
      <c r="CEM44" s="159"/>
      <c r="CEN44" s="159"/>
      <c r="CEO44" s="159"/>
      <c r="CEP44" s="159"/>
      <c r="CEQ44" s="159"/>
      <c r="CER44" s="159"/>
      <c r="CES44" s="159"/>
      <c r="CET44" s="159"/>
      <c r="CEU44" s="159"/>
      <c r="CEV44" s="159"/>
      <c r="CEW44" s="159"/>
      <c r="CEX44" s="159"/>
      <c r="CEY44" s="159"/>
      <c r="CEZ44" s="159"/>
      <c r="CFA44" s="159"/>
      <c r="CFB44" s="159"/>
      <c r="CFC44" s="159"/>
      <c r="CFD44" s="159"/>
      <c r="CFE44" s="159"/>
      <c r="CFF44" s="159"/>
      <c r="CFG44" s="159"/>
      <c r="CFH44" s="159"/>
      <c r="CFI44" s="159"/>
      <c r="CFJ44" s="159"/>
      <c r="CFK44" s="159"/>
      <c r="CFL44" s="159"/>
      <c r="CFM44" s="159"/>
      <c r="CFN44" s="159"/>
      <c r="CFO44" s="159"/>
      <c r="CFP44" s="159"/>
      <c r="CFQ44" s="159"/>
      <c r="CFR44" s="159"/>
      <c r="CFS44" s="159"/>
      <c r="CFT44" s="159"/>
      <c r="CFU44" s="159"/>
      <c r="CFV44" s="159"/>
      <c r="CFW44" s="159"/>
      <c r="CFX44" s="159"/>
      <c r="CFY44" s="159"/>
      <c r="CFZ44" s="159"/>
      <c r="CGA44" s="159"/>
      <c r="CGB44" s="159"/>
      <c r="CGC44" s="159"/>
      <c r="CGD44" s="159"/>
      <c r="CGE44" s="159"/>
      <c r="CGF44" s="159"/>
      <c r="CGG44" s="159"/>
      <c r="CGH44" s="159"/>
      <c r="CGI44" s="159"/>
      <c r="CGJ44" s="159"/>
      <c r="CGK44" s="159"/>
      <c r="CGL44" s="159"/>
      <c r="CGM44" s="159"/>
      <c r="CGN44" s="159"/>
      <c r="CGO44" s="159"/>
      <c r="CGP44" s="159"/>
      <c r="CGQ44" s="159"/>
      <c r="CGR44" s="159"/>
      <c r="CGS44" s="159"/>
      <c r="CGT44" s="159"/>
      <c r="CGU44" s="159"/>
      <c r="CGV44" s="159"/>
      <c r="CGW44" s="159"/>
      <c r="CGX44" s="159"/>
      <c r="CGY44" s="159"/>
      <c r="CGZ44" s="159"/>
      <c r="CHA44" s="159"/>
      <c r="CHB44" s="159"/>
      <c r="CHC44" s="159"/>
      <c r="CHD44" s="159"/>
      <c r="CHE44" s="159"/>
      <c r="CHF44" s="159"/>
      <c r="CHG44" s="159"/>
      <c r="CHH44" s="159"/>
      <c r="CHI44" s="159"/>
      <c r="CHJ44" s="159"/>
      <c r="CHK44" s="159"/>
      <c r="CHL44" s="159"/>
      <c r="CHM44" s="159"/>
      <c r="CHN44" s="159"/>
      <c r="CHO44" s="159"/>
      <c r="CHP44" s="159"/>
      <c r="CHQ44" s="159"/>
      <c r="CHR44" s="159"/>
      <c r="CHS44" s="159"/>
      <c r="CHT44" s="159"/>
      <c r="CHU44" s="159"/>
      <c r="CHV44" s="159"/>
      <c r="CHW44" s="159"/>
      <c r="CHX44" s="159"/>
      <c r="CHY44" s="159"/>
      <c r="CHZ44" s="159"/>
      <c r="CIA44" s="159"/>
      <c r="CIB44" s="159"/>
      <c r="CIC44" s="159"/>
      <c r="CID44" s="159"/>
      <c r="CIE44" s="159"/>
      <c r="CIF44" s="159"/>
      <c r="CIG44" s="159"/>
      <c r="CIH44" s="159"/>
      <c r="CII44" s="159"/>
      <c r="CIJ44" s="159"/>
      <c r="CIK44" s="159"/>
      <c r="CIL44" s="159"/>
      <c r="CIM44" s="159"/>
      <c r="CIN44" s="159"/>
      <c r="CIO44" s="159"/>
      <c r="CIP44" s="159"/>
      <c r="CIQ44" s="159"/>
      <c r="CIR44" s="159"/>
      <c r="CIS44" s="159"/>
      <c r="CIT44" s="159"/>
      <c r="CIU44" s="159"/>
      <c r="CIV44" s="159"/>
      <c r="CIW44" s="159"/>
      <c r="CIX44" s="159"/>
      <c r="CIY44" s="159"/>
      <c r="CIZ44" s="159"/>
      <c r="CJA44" s="159"/>
      <c r="CJB44" s="159"/>
      <c r="CJC44" s="159"/>
      <c r="CJD44" s="159"/>
      <c r="CJE44" s="159"/>
      <c r="CJF44" s="159"/>
      <c r="CJG44" s="159"/>
      <c r="CJH44" s="159"/>
      <c r="CJI44" s="159"/>
      <c r="CJJ44" s="159"/>
      <c r="CJK44" s="159"/>
      <c r="CJL44" s="159"/>
      <c r="CJM44" s="159"/>
      <c r="CJN44" s="159"/>
      <c r="CJO44" s="159"/>
      <c r="CJP44" s="159"/>
      <c r="CJQ44" s="159"/>
      <c r="CJR44" s="159"/>
      <c r="CJS44" s="159"/>
      <c r="CJT44" s="159"/>
      <c r="CJU44" s="159"/>
      <c r="CJV44" s="159"/>
      <c r="CJW44" s="159"/>
      <c r="CJX44" s="159"/>
      <c r="CJY44" s="159"/>
      <c r="CJZ44" s="159"/>
      <c r="CKA44" s="159"/>
      <c r="CKB44" s="159"/>
      <c r="CKC44" s="159"/>
      <c r="CKD44" s="159"/>
      <c r="CKE44" s="159"/>
      <c r="CKF44" s="159"/>
      <c r="CKG44" s="159"/>
      <c r="CKH44" s="159"/>
      <c r="CKI44" s="159"/>
      <c r="CKJ44" s="159"/>
      <c r="CKK44" s="159"/>
      <c r="CKL44" s="159"/>
      <c r="CKM44" s="159"/>
      <c r="CKN44" s="159"/>
      <c r="CKO44" s="159"/>
      <c r="CKP44" s="159"/>
      <c r="CKQ44" s="159"/>
      <c r="CKR44" s="159"/>
      <c r="CKS44" s="159"/>
      <c r="CKT44" s="159"/>
      <c r="CKU44" s="159"/>
      <c r="CKV44" s="159"/>
      <c r="CKW44" s="159"/>
      <c r="CKX44" s="159"/>
      <c r="CKY44" s="159"/>
      <c r="CKZ44" s="159"/>
      <c r="CLA44" s="159"/>
      <c r="CLB44" s="159"/>
      <c r="CLC44" s="159"/>
      <c r="CLD44" s="159"/>
      <c r="CLE44" s="159"/>
      <c r="CLF44" s="159"/>
      <c r="CLG44" s="159"/>
      <c r="CLH44" s="159"/>
      <c r="CLI44" s="159"/>
      <c r="CLJ44" s="159"/>
      <c r="CLK44" s="159"/>
      <c r="CLL44" s="159"/>
      <c r="CLM44" s="159"/>
      <c r="CLN44" s="159"/>
      <c r="CLO44" s="159"/>
      <c r="CLP44" s="159"/>
      <c r="CLQ44" s="159"/>
      <c r="CLR44" s="159"/>
      <c r="CLS44" s="159"/>
      <c r="CLT44" s="159"/>
      <c r="CLU44" s="159"/>
      <c r="CLV44" s="159"/>
      <c r="CLW44" s="159"/>
      <c r="CLX44" s="159"/>
      <c r="CLY44" s="159"/>
      <c r="CLZ44" s="159"/>
      <c r="CMA44" s="159"/>
      <c r="CMB44" s="159"/>
      <c r="CMC44" s="159"/>
      <c r="CMD44" s="159"/>
      <c r="CME44" s="159"/>
      <c r="CMF44" s="159"/>
      <c r="CMG44" s="159"/>
      <c r="CMH44" s="159"/>
      <c r="CMI44" s="159"/>
      <c r="CMJ44" s="159"/>
      <c r="CMK44" s="159"/>
      <c r="CML44" s="159"/>
      <c r="CMM44" s="159"/>
      <c r="CMN44" s="159"/>
      <c r="CMO44" s="159"/>
      <c r="CMP44" s="159"/>
      <c r="CMQ44" s="159"/>
      <c r="CMR44" s="159"/>
      <c r="CMS44" s="159"/>
      <c r="CMT44" s="159"/>
      <c r="CMU44" s="159"/>
      <c r="CMV44" s="159"/>
      <c r="CMW44" s="159"/>
      <c r="CMX44" s="159"/>
      <c r="CMY44" s="159"/>
      <c r="CMZ44" s="159"/>
      <c r="CNA44" s="159"/>
      <c r="CNB44" s="159"/>
      <c r="CNC44" s="159"/>
      <c r="CND44" s="159"/>
      <c r="CNE44" s="159"/>
      <c r="CNF44" s="159"/>
      <c r="CNG44" s="159"/>
      <c r="CNH44" s="159"/>
      <c r="CNI44" s="159"/>
      <c r="CNJ44" s="159"/>
      <c r="CNK44" s="159"/>
      <c r="CNL44" s="159"/>
      <c r="CNM44" s="159"/>
      <c r="CNN44" s="159"/>
      <c r="CNO44" s="159"/>
      <c r="CNP44" s="159"/>
      <c r="CNQ44" s="159"/>
      <c r="CNR44" s="159"/>
      <c r="CNS44" s="159"/>
      <c r="CNT44" s="159"/>
      <c r="CNU44" s="159"/>
      <c r="CNV44" s="159"/>
      <c r="CNW44" s="159"/>
      <c r="CNX44" s="159"/>
      <c r="CNY44" s="159"/>
      <c r="CNZ44" s="159"/>
      <c r="COA44" s="159"/>
      <c r="COB44" s="159"/>
      <c r="COC44" s="159"/>
      <c r="COD44" s="159"/>
      <c r="COE44" s="159"/>
      <c r="COF44" s="159"/>
      <c r="COG44" s="159"/>
      <c r="COH44" s="159"/>
      <c r="COI44" s="159"/>
      <c r="COJ44" s="159"/>
      <c r="COK44" s="159"/>
      <c r="COL44" s="159"/>
      <c r="COM44" s="159"/>
      <c r="CON44" s="159"/>
      <c r="COO44" s="159"/>
      <c r="COP44" s="159"/>
      <c r="COQ44" s="159"/>
      <c r="COR44" s="159"/>
      <c r="COS44" s="159"/>
      <c r="COT44" s="159"/>
      <c r="COU44" s="159"/>
      <c r="COV44" s="159"/>
      <c r="COW44" s="159"/>
      <c r="COX44" s="159"/>
      <c r="COY44" s="159"/>
      <c r="COZ44" s="159"/>
      <c r="CPA44" s="159"/>
      <c r="CPB44" s="159"/>
      <c r="CPC44" s="159"/>
      <c r="CPD44" s="159"/>
      <c r="CPE44" s="159"/>
      <c r="CPF44" s="159"/>
      <c r="CPG44" s="159"/>
      <c r="CPH44" s="159"/>
      <c r="CPI44" s="159"/>
      <c r="CPJ44" s="159"/>
      <c r="CPK44" s="159"/>
      <c r="CPL44" s="159"/>
      <c r="CPM44" s="159"/>
      <c r="CPN44" s="159"/>
      <c r="CPO44" s="159"/>
      <c r="CPP44" s="159"/>
      <c r="CPQ44" s="159"/>
      <c r="CPR44" s="159"/>
      <c r="CPS44" s="159"/>
      <c r="CPT44" s="159"/>
      <c r="CPU44" s="159"/>
      <c r="CPV44" s="159"/>
      <c r="CPW44" s="159"/>
      <c r="CPX44" s="159"/>
      <c r="CPY44" s="159"/>
      <c r="CPZ44" s="159"/>
      <c r="CQA44" s="159"/>
      <c r="CQB44" s="159"/>
      <c r="CQC44" s="159"/>
      <c r="CQD44" s="159"/>
      <c r="CQE44" s="159"/>
      <c r="CQF44" s="159"/>
      <c r="CQG44" s="159"/>
      <c r="CQH44" s="159"/>
      <c r="CQI44" s="159"/>
      <c r="CQJ44" s="159"/>
      <c r="CQK44" s="159"/>
      <c r="CQL44" s="159"/>
      <c r="CQM44" s="159"/>
      <c r="CQN44" s="159"/>
      <c r="CQO44" s="159"/>
      <c r="CQP44" s="159"/>
      <c r="CQQ44" s="159"/>
      <c r="CQR44" s="159"/>
      <c r="CQS44" s="159"/>
      <c r="CQT44" s="159"/>
      <c r="CQU44" s="159"/>
      <c r="CQV44" s="159"/>
      <c r="CQW44" s="159"/>
      <c r="CQX44" s="159"/>
      <c r="CQY44" s="159"/>
      <c r="CQZ44" s="159"/>
      <c r="CRA44" s="159"/>
      <c r="CRB44" s="159"/>
      <c r="CRC44" s="159"/>
      <c r="CRD44" s="159"/>
      <c r="CRE44" s="159"/>
      <c r="CRF44" s="159"/>
      <c r="CRG44" s="159"/>
      <c r="CRH44" s="159"/>
      <c r="CRI44" s="159"/>
      <c r="CRJ44" s="159"/>
      <c r="CRK44" s="159"/>
      <c r="CRL44" s="159"/>
      <c r="CRM44" s="159"/>
      <c r="CRN44" s="159"/>
      <c r="CRO44" s="159"/>
      <c r="CRP44" s="159"/>
      <c r="CRQ44" s="159"/>
      <c r="CRR44" s="159"/>
      <c r="CRS44" s="159"/>
      <c r="CRT44" s="159"/>
      <c r="CRU44" s="159"/>
      <c r="CRV44" s="159"/>
      <c r="CRW44" s="159"/>
      <c r="CRX44" s="159"/>
      <c r="CRY44" s="159"/>
      <c r="CRZ44" s="159"/>
      <c r="CSA44" s="159"/>
      <c r="CSB44" s="159"/>
      <c r="CSC44" s="159"/>
      <c r="CSD44" s="159"/>
      <c r="CSE44" s="159"/>
      <c r="CSF44" s="159"/>
      <c r="CSG44" s="159"/>
      <c r="CSH44" s="159"/>
      <c r="CSI44" s="159"/>
      <c r="CSJ44" s="159"/>
      <c r="CSK44" s="159"/>
      <c r="CSL44" s="159"/>
      <c r="CSM44" s="159"/>
      <c r="CSN44" s="159"/>
      <c r="CSO44" s="159"/>
      <c r="CSP44" s="159"/>
      <c r="CSQ44" s="159"/>
      <c r="CSR44" s="159"/>
      <c r="CSS44" s="159"/>
      <c r="CST44" s="159"/>
      <c r="CSU44" s="159"/>
      <c r="CSV44" s="159"/>
      <c r="CSW44" s="159"/>
      <c r="CSX44" s="159"/>
      <c r="CSY44" s="159"/>
      <c r="CSZ44" s="159"/>
      <c r="CTA44" s="159"/>
      <c r="CTB44" s="159"/>
      <c r="CTC44" s="159"/>
      <c r="CTD44" s="159"/>
      <c r="CTE44" s="159"/>
      <c r="CTF44" s="159"/>
      <c r="CTG44" s="159"/>
      <c r="CTH44" s="159"/>
      <c r="CTI44" s="159"/>
      <c r="CTJ44" s="159"/>
      <c r="CTK44" s="159"/>
      <c r="CTL44" s="159"/>
      <c r="CTM44" s="159"/>
      <c r="CTN44" s="159"/>
      <c r="CTO44" s="159"/>
      <c r="CTP44" s="159"/>
      <c r="CTQ44" s="159"/>
      <c r="CTR44" s="159"/>
      <c r="CTS44" s="159"/>
      <c r="CTT44" s="159"/>
      <c r="CTU44" s="159"/>
      <c r="CTV44" s="159"/>
      <c r="CTW44" s="159"/>
      <c r="CTX44" s="159"/>
      <c r="CTY44" s="159"/>
      <c r="CTZ44" s="159"/>
      <c r="CUA44" s="159"/>
      <c r="CUB44" s="159"/>
      <c r="CUC44" s="159"/>
      <c r="CUD44" s="159"/>
      <c r="CUE44" s="159"/>
      <c r="CUF44" s="159"/>
      <c r="CUG44" s="159"/>
      <c r="CUH44" s="159"/>
      <c r="CUI44" s="159"/>
      <c r="CUJ44" s="159"/>
      <c r="CUK44" s="159"/>
      <c r="CUL44" s="159"/>
      <c r="CUM44" s="159"/>
      <c r="CUN44" s="159"/>
      <c r="CUO44" s="159"/>
      <c r="CUP44" s="159"/>
      <c r="CUQ44" s="159"/>
      <c r="CUR44" s="159"/>
      <c r="CUS44" s="159"/>
      <c r="CUT44" s="159"/>
      <c r="CUU44" s="159"/>
      <c r="CUV44" s="159"/>
      <c r="CUW44" s="159"/>
      <c r="CUX44" s="159"/>
      <c r="CUY44" s="159"/>
      <c r="CUZ44" s="159"/>
      <c r="CVA44" s="159"/>
      <c r="CVB44" s="159"/>
      <c r="CVC44" s="159"/>
      <c r="CVD44" s="159"/>
      <c r="CVE44" s="159"/>
      <c r="CVF44" s="159"/>
      <c r="CVG44" s="159"/>
      <c r="CVH44" s="159"/>
      <c r="CVI44" s="159"/>
      <c r="CVJ44" s="159"/>
      <c r="CVK44" s="159"/>
      <c r="CVL44" s="159"/>
      <c r="CVM44" s="159"/>
      <c r="CVN44" s="159"/>
      <c r="CVO44" s="159"/>
      <c r="CVP44" s="159"/>
      <c r="CVQ44" s="159"/>
      <c r="CVR44" s="159"/>
      <c r="CVS44" s="159"/>
      <c r="CVT44" s="159"/>
      <c r="CVU44" s="159"/>
      <c r="CVV44" s="159"/>
      <c r="CVW44" s="159"/>
      <c r="CVX44" s="159"/>
      <c r="CVY44" s="159"/>
      <c r="CVZ44" s="159"/>
      <c r="CWA44" s="159"/>
      <c r="CWB44" s="159"/>
      <c r="CWC44" s="159"/>
      <c r="CWD44" s="159"/>
      <c r="CWE44" s="159"/>
      <c r="CWF44" s="159"/>
      <c r="CWG44" s="159"/>
      <c r="CWH44" s="159"/>
      <c r="CWI44" s="159"/>
      <c r="CWJ44" s="159"/>
      <c r="CWK44" s="159"/>
      <c r="CWL44" s="159"/>
      <c r="CWM44" s="159"/>
      <c r="CWN44" s="159"/>
      <c r="CWO44" s="159"/>
      <c r="CWP44" s="159"/>
      <c r="CWQ44" s="159"/>
      <c r="CWR44" s="159"/>
      <c r="CWS44" s="159"/>
      <c r="CWT44" s="159"/>
      <c r="CWU44" s="159"/>
      <c r="CWV44" s="159"/>
      <c r="CWW44" s="159"/>
      <c r="CWX44" s="159"/>
      <c r="CWY44" s="159"/>
      <c r="CWZ44" s="159"/>
      <c r="CXA44" s="159"/>
      <c r="CXB44" s="159"/>
      <c r="CXC44" s="159"/>
      <c r="CXD44" s="159"/>
      <c r="CXE44" s="159"/>
      <c r="CXF44" s="159"/>
      <c r="CXG44" s="159"/>
      <c r="CXH44" s="159"/>
      <c r="CXI44" s="159"/>
      <c r="CXJ44" s="159"/>
      <c r="CXK44" s="159"/>
      <c r="CXL44" s="159"/>
      <c r="CXM44" s="159"/>
      <c r="CXN44" s="159"/>
    </row>
    <row r="45" spans="1:2666" s="159" customFormat="1" ht="12.95">
      <c r="A45" s="160"/>
      <c r="B45" s="117" t="s">
        <v>40</v>
      </c>
      <c r="C45" s="161">
        <v>3</v>
      </c>
      <c r="D45" s="108">
        <v>20000</v>
      </c>
      <c r="E45" s="108" t="s">
        <v>12</v>
      </c>
      <c r="F45" s="108">
        <v>7</v>
      </c>
      <c r="G45" s="108">
        <f>+C45*D45*F45</f>
        <v>420000</v>
      </c>
      <c r="H45" s="148">
        <f t="shared" si="3"/>
        <v>699.16100679184979</v>
      </c>
      <c r="I45" s="153" t="s">
        <v>57</v>
      </c>
      <c r="J45" s="109"/>
      <c r="K45" s="109"/>
      <c r="L45" s="109"/>
      <c r="M45" s="109"/>
      <c r="N45" s="109"/>
      <c r="O45" s="109"/>
      <c r="P45" s="109"/>
      <c r="Q45" s="109"/>
    </row>
    <row r="46" spans="1:2666" s="159" customFormat="1" ht="12.95">
      <c r="A46" s="160"/>
      <c r="B46" s="117" t="s">
        <v>47</v>
      </c>
      <c r="C46" s="161">
        <v>2</v>
      </c>
      <c r="D46" s="108">
        <v>78000</v>
      </c>
      <c r="E46" s="108" t="s">
        <v>12</v>
      </c>
      <c r="F46" s="108">
        <v>7</v>
      </c>
      <c r="G46" s="108">
        <f>+C46*D46*F46</f>
        <v>1092000</v>
      </c>
      <c r="H46" s="148">
        <f t="shared" si="3"/>
        <v>1817.8186176588094</v>
      </c>
      <c r="I46" s="153"/>
      <c r="J46" s="109"/>
      <c r="K46" s="109"/>
      <c r="L46" s="109"/>
      <c r="M46" s="109"/>
      <c r="N46" s="109"/>
      <c r="O46" s="109"/>
      <c r="P46" s="109"/>
      <c r="Q46" s="109"/>
    </row>
    <row r="47" spans="1:2666" s="159" customFormat="1" ht="12.95">
      <c r="A47" s="160"/>
      <c r="B47" s="117" t="s">
        <v>54</v>
      </c>
      <c r="C47" s="161">
        <v>1</v>
      </c>
      <c r="D47" s="108">
        <v>1800</v>
      </c>
      <c r="E47" s="108" t="s">
        <v>21</v>
      </c>
      <c r="F47" s="108">
        <v>228</v>
      </c>
      <c r="G47" s="108">
        <f>+C47*D47*F47</f>
        <v>410400</v>
      </c>
      <c r="H47" s="148">
        <f t="shared" si="3"/>
        <v>683.18018377946464</v>
      </c>
      <c r="I47" s="153"/>
      <c r="J47" s="109"/>
      <c r="K47" s="109"/>
      <c r="L47" s="109"/>
      <c r="M47" s="109"/>
      <c r="N47" s="109"/>
      <c r="O47" s="109"/>
      <c r="P47" s="109"/>
      <c r="Q47" s="109"/>
    </row>
    <row r="48" spans="1:2666" s="109" customFormat="1" ht="12.95">
      <c r="A48" s="158"/>
      <c r="B48" s="117" t="s">
        <v>49</v>
      </c>
      <c r="C48" s="161">
        <v>3</v>
      </c>
      <c r="D48" s="108">
        <v>25000</v>
      </c>
      <c r="E48" s="108" t="s">
        <v>12</v>
      </c>
      <c r="F48" s="108">
        <v>7</v>
      </c>
      <c r="G48" s="108">
        <f>+C48*D48*F48</f>
        <v>525000</v>
      </c>
      <c r="H48" s="148">
        <f t="shared" si="3"/>
        <v>873.95125848981218</v>
      </c>
      <c r="I48" s="153" t="s">
        <v>58</v>
      </c>
    </row>
    <row r="49" spans="1:9" s="109" customFormat="1" ht="12.95">
      <c r="A49" s="158"/>
      <c r="B49" s="117" t="s">
        <v>33</v>
      </c>
      <c r="C49" s="161">
        <v>12</v>
      </c>
      <c r="D49" s="108">
        <v>1000</v>
      </c>
      <c r="E49" s="108" t="s">
        <v>34</v>
      </c>
      <c r="F49" s="108">
        <v>7</v>
      </c>
      <c r="G49" s="108">
        <f t="shared" ref="G49:G50" si="6">+C49*D49*F49</f>
        <v>84000</v>
      </c>
      <c r="H49" s="148">
        <f t="shared" si="3"/>
        <v>139.83220135836996</v>
      </c>
    </row>
    <row r="50" spans="1:9" s="109" customFormat="1" ht="12.95">
      <c r="A50" s="158"/>
      <c r="B50" s="137" t="s">
        <v>55</v>
      </c>
      <c r="C50" s="161">
        <v>2</v>
      </c>
      <c r="D50" s="108">
        <v>145000</v>
      </c>
      <c r="E50" s="108" t="s">
        <v>12</v>
      </c>
      <c r="F50" s="108">
        <v>1</v>
      </c>
      <c r="G50" s="108">
        <f t="shared" si="6"/>
        <v>290000</v>
      </c>
      <c r="H50" s="148">
        <f t="shared" si="3"/>
        <v>482.75402849913434</v>
      </c>
    </row>
    <row r="51" spans="1:9" s="47" customFormat="1" ht="26.1">
      <c r="A51" s="101">
        <v>5</v>
      </c>
      <c r="B51" s="102" t="s">
        <v>59</v>
      </c>
      <c r="C51" s="166"/>
      <c r="D51" s="166"/>
      <c r="E51" s="166"/>
      <c r="F51" s="166"/>
      <c r="G51" s="105">
        <v>1763500</v>
      </c>
      <c r="H51" s="172">
        <f>G51/H4</f>
        <v>2935.6438939938739</v>
      </c>
      <c r="I51" s="156" t="s">
        <v>60</v>
      </c>
    </row>
    <row r="52" spans="1:9" s="109" customFormat="1" ht="30" customHeight="1">
      <c r="A52" s="122"/>
      <c r="B52" s="137" t="s">
        <v>61</v>
      </c>
      <c r="C52" s="108">
        <v>1</v>
      </c>
      <c r="D52" s="108">
        <v>2000000</v>
      </c>
      <c r="E52" s="110"/>
      <c r="F52" s="110"/>
      <c r="G52" s="108">
        <f>G51</f>
        <v>1763500</v>
      </c>
      <c r="H52" s="148">
        <f>G52/$H$4</f>
        <v>2935.6438939938739</v>
      </c>
    </row>
    <row r="53" spans="1:9" s="109" customFormat="1" ht="23.25" hidden="1" customHeight="1">
      <c r="A53" s="122"/>
      <c r="B53" s="123" t="s">
        <v>62</v>
      </c>
      <c r="C53" s="133">
        <v>7</v>
      </c>
      <c r="D53" s="113">
        <v>15000000</v>
      </c>
      <c r="E53" s="114"/>
      <c r="F53" s="114"/>
      <c r="G53" s="113"/>
      <c r="H53" s="151">
        <v>0</v>
      </c>
      <c r="I53" s="124"/>
    </row>
    <row r="54" spans="1:9" s="125" customFormat="1" ht="12.95" hidden="1" customHeight="1">
      <c r="A54" s="101">
        <v>5</v>
      </c>
      <c r="B54" s="102" t="s">
        <v>63</v>
      </c>
      <c r="C54" s="103"/>
      <c r="D54" s="103"/>
      <c r="E54" s="103"/>
      <c r="F54" s="103"/>
      <c r="G54" s="111">
        <f>SUM(G55:G59)</f>
        <v>0</v>
      </c>
      <c r="H54" s="150">
        <v>0</v>
      </c>
    </row>
    <row r="55" spans="1:9" s="109" customFormat="1" ht="12.95" hidden="1" customHeight="1">
      <c r="A55" s="122"/>
      <c r="B55" s="126"/>
      <c r="C55" s="113"/>
      <c r="D55" s="113"/>
      <c r="E55" s="113"/>
      <c r="F55" s="113"/>
      <c r="G55" s="113"/>
      <c r="H55" s="151"/>
    </row>
    <row r="56" spans="1:9" s="109" customFormat="1" ht="51.95" hidden="1" customHeight="1">
      <c r="A56" s="122"/>
      <c r="B56" s="123" t="s">
        <v>64</v>
      </c>
      <c r="C56" s="127" t="s">
        <v>65</v>
      </c>
      <c r="D56" s="113">
        <v>250000</v>
      </c>
      <c r="E56" s="113" t="s">
        <v>12</v>
      </c>
      <c r="F56" s="113">
        <v>25</v>
      </c>
      <c r="G56" s="113"/>
      <c r="H56" s="151">
        <v>0</v>
      </c>
    </row>
    <row r="57" spans="1:9" s="125" customFormat="1" ht="12.95" hidden="1" customHeight="1">
      <c r="A57" s="122"/>
      <c r="B57" s="123" t="s">
        <v>66</v>
      </c>
      <c r="C57" s="113">
        <f>'[1]Budget 12000 HH'!D92</f>
        <v>150</v>
      </c>
      <c r="D57" s="113">
        <v>20000</v>
      </c>
      <c r="E57" s="113" t="s">
        <v>67</v>
      </c>
      <c r="F57" s="114"/>
      <c r="G57" s="113"/>
      <c r="H57" s="151">
        <v>0</v>
      </c>
    </row>
    <row r="58" spans="1:9" s="125" customFormat="1" ht="12.95" hidden="1" customHeight="1">
      <c r="A58" s="122"/>
      <c r="B58" s="123" t="s">
        <v>68</v>
      </c>
      <c r="C58" s="113">
        <v>250</v>
      </c>
      <c r="D58" s="113">
        <v>5000</v>
      </c>
      <c r="E58" s="113" t="s">
        <v>67</v>
      </c>
      <c r="F58" s="114"/>
      <c r="G58" s="113"/>
      <c r="H58" s="151">
        <v>0</v>
      </c>
    </row>
    <row r="59" spans="1:9" s="47" customFormat="1" ht="12.95" hidden="1" customHeight="1">
      <c r="A59" s="122"/>
      <c r="B59" s="123" t="s">
        <v>69</v>
      </c>
      <c r="C59" s="113">
        <v>40</v>
      </c>
      <c r="D59" s="113">
        <v>10000</v>
      </c>
      <c r="E59" s="113" t="s">
        <v>67</v>
      </c>
      <c r="F59" s="114"/>
      <c r="G59" s="113"/>
      <c r="H59" s="151">
        <v>0</v>
      </c>
    </row>
    <row r="60" spans="1:9" s="47" customFormat="1" ht="12.95" hidden="1" customHeight="1">
      <c r="A60" s="101">
        <v>6</v>
      </c>
      <c r="B60" s="102" t="s">
        <v>70</v>
      </c>
      <c r="C60" s="103"/>
      <c r="D60" s="104"/>
      <c r="E60" s="103"/>
      <c r="F60" s="103"/>
      <c r="G60" s="111">
        <f>SUM(G61:G64)</f>
        <v>0</v>
      </c>
      <c r="H60" s="149">
        <v>0</v>
      </c>
    </row>
    <row r="61" spans="1:9" s="47" customFormat="1" ht="12.95" hidden="1" customHeight="1">
      <c r="A61" s="122"/>
      <c r="B61" s="123" t="s">
        <v>71</v>
      </c>
      <c r="C61" s="113">
        <v>50</v>
      </c>
      <c r="D61" s="113">
        <v>6000</v>
      </c>
      <c r="E61" s="113" t="s">
        <v>12</v>
      </c>
      <c r="F61" s="113">
        <v>1</v>
      </c>
      <c r="G61" s="113"/>
      <c r="H61" s="151">
        <v>0</v>
      </c>
    </row>
    <row r="62" spans="1:9" s="47" customFormat="1" ht="12.95" hidden="1" customHeight="1">
      <c r="A62" s="122"/>
      <c r="B62" s="123" t="s">
        <v>72</v>
      </c>
      <c r="C62" s="113">
        <v>50</v>
      </c>
      <c r="D62" s="113">
        <v>17000</v>
      </c>
      <c r="E62" s="113" t="s">
        <v>12</v>
      </c>
      <c r="F62" s="113">
        <v>1</v>
      </c>
      <c r="G62" s="113"/>
      <c r="H62" s="151">
        <v>0</v>
      </c>
    </row>
    <row r="63" spans="1:9" s="47" customFormat="1" ht="12.95" hidden="1" customHeight="1">
      <c r="A63" s="122"/>
      <c r="B63" s="123" t="s">
        <v>73</v>
      </c>
      <c r="C63" s="113">
        <v>1</v>
      </c>
      <c r="D63" s="113">
        <v>350000</v>
      </c>
      <c r="E63" s="113" t="s">
        <v>12</v>
      </c>
      <c r="F63" s="113">
        <v>1</v>
      </c>
      <c r="G63" s="113"/>
      <c r="H63" s="151">
        <v>0</v>
      </c>
    </row>
    <row r="64" spans="1:9" s="47" customFormat="1" ht="12.95" hidden="1" customHeight="1">
      <c r="A64" s="122"/>
      <c r="B64" s="123" t="s">
        <v>74</v>
      </c>
      <c r="C64" s="113">
        <v>5</v>
      </c>
      <c r="D64" s="113">
        <v>20000</v>
      </c>
      <c r="E64" s="113" t="s">
        <v>12</v>
      </c>
      <c r="F64" s="113">
        <v>1</v>
      </c>
      <c r="G64" s="113"/>
      <c r="H64" s="151">
        <v>0</v>
      </c>
    </row>
    <row r="65" spans="1:10" s="47" customFormat="1" ht="12.95">
      <c r="A65" s="101" t="s">
        <v>75</v>
      </c>
      <c r="B65" s="102" t="s">
        <v>76</v>
      </c>
      <c r="C65" s="103"/>
      <c r="D65" s="104"/>
      <c r="E65" s="103"/>
      <c r="F65" s="103"/>
      <c r="G65" s="111">
        <f>G7+G17+G24+G43+G51</f>
        <v>25411800</v>
      </c>
      <c r="H65" s="149">
        <f>G65/H4</f>
        <v>42302.237315221733</v>
      </c>
    </row>
    <row r="66" spans="1:10" s="47" customFormat="1" ht="12.95">
      <c r="A66" s="101" t="s">
        <v>77</v>
      </c>
      <c r="B66" s="102" t="s">
        <v>78</v>
      </c>
      <c r="C66" s="103"/>
      <c r="D66" s="104"/>
      <c r="E66" s="103"/>
      <c r="F66" s="103"/>
      <c r="G66" s="111">
        <f>G65*0.05</f>
        <v>1270590</v>
      </c>
      <c r="H66" s="149">
        <f>G66/H7</f>
        <v>222.34584735492891</v>
      </c>
      <c r="J66" s="135"/>
    </row>
    <row r="67" spans="1:10" s="125" customFormat="1" ht="12.95">
      <c r="A67" s="128"/>
      <c r="B67" s="129" t="s">
        <v>79</v>
      </c>
      <c r="C67" s="130"/>
      <c r="D67" s="131"/>
      <c r="E67" s="130"/>
      <c r="F67" s="130"/>
      <c r="G67" s="132">
        <f>G65+G66</f>
        <v>26682390</v>
      </c>
      <c r="H67" s="152">
        <f>H65+H66</f>
        <v>42524.583162576659</v>
      </c>
    </row>
    <row r="68" spans="1:10">
      <c r="A68" s="87"/>
      <c r="B68" s="88"/>
      <c r="C68" s="89"/>
      <c r="D68" s="89"/>
      <c r="E68" s="89"/>
      <c r="F68" s="89"/>
      <c r="G68" s="89"/>
      <c r="H68" s="89"/>
    </row>
    <row r="69" spans="1:10">
      <c r="A69" s="90"/>
      <c r="B69" s="91"/>
      <c r="C69" s="92"/>
      <c r="D69" s="92"/>
      <c r="E69" s="92"/>
      <c r="F69" s="92"/>
      <c r="G69" s="92"/>
      <c r="H69" s="92"/>
    </row>
    <row r="70" spans="1:10" ht="48.75" customHeight="1">
      <c r="A70" s="183" t="s">
        <v>80</v>
      </c>
      <c r="B70" s="184"/>
      <c r="C70" s="187" t="s">
        <v>81</v>
      </c>
      <c r="D70" s="187"/>
      <c r="E70" s="187"/>
      <c r="F70" s="188" t="s">
        <v>82</v>
      </c>
      <c r="G70" s="184"/>
      <c r="H70" s="184"/>
    </row>
    <row r="71" spans="1:10" ht="33.75" customHeight="1">
      <c r="A71" s="185"/>
      <c r="B71" s="186"/>
      <c r="C71" s="187"/>
      <c r="D71" s="187"/>
      <c r="E71" s="187"/>
      <c r="F71" s="189"/>
      <c r="G71" s="186"/>
      <c r="H71" s="186"/>
    </row>
    <row r="72" spans="1:10">
      <c r="A72" s="94"/>
      <c r="B72" s="95"/>
      <c r="C72" s="96"/>
      <c r="D72" s="96"/>
      <c r="E72" s="96"/>
      <c r="F72" s="96"/>
      <c r="G72" s="96"/>
      <c r="H72" s="96"/>
    </row>
    <row r="73" spans="1:10" ht="54" customHeight="1">
      <c r="A73" s="173" t="s">
        <v>83</v>
      </c>
      <c r="B73" s="174"/>
      <c r="C73" s="175"/>
      <c r="D73" s="93"/>
      <c r="E73" s="93"/>
      <c r="F73" s="179" t="s">
        <v>84</v>
      </c>
      <c r="G73" s="174"/>
      <c r="H73" s="174"/>
    </row>
    <row r="74" spans="1:10" ht="36" customHeight="1" thickBot="1">
      <c r="A74" s="176"/>
      <c r="B74" s="177"/>
      <c r="C74" s="178"/>
      <c r="D74" s="97"/>
      <c r="E74" s="98"/>
      <c r="F74" s="180"/>
      <c r="G74" s="177"/>
      <c r="H74" s="177"/>
    </row>
    <row r="75" spans="1:10" ht="15" thickTop="1">
      <c r="A75" s="3"/>
      <c r="B75" s="82"/>
      <c r="E75" s="83"/>
      <c r="F75" s="83"/>
      <c r="G75" s="83"/>
      <c r="H75" s="83"/>
    </row>
    <row r="76" spans="1:10">
      <c r="A76" s="3"/>
      <c r="B76" s="82"/>
      <c r="E76" s="83"/>
      <c r="F76" s="83"/>
      <c r="G76" s="83"/>
      <c r="H76" s="83"/>
    </row>
    <row r="77" spans="1:10">
      <c r="A77" s="3"/>
      <c r="B77" s="82"/>
      <c r="E77" s="83"/>
      <c r="F77" s="83"/>
      <c r="G77" s="83"/>
      <c r="H77" s="83"/>
    </row>
    <row r="78" spans="1:10" ht="15.75" customHeight="1">
      <c r="A78" s="3"/>
      <c r="B78" s="82"/>
      <c r="C78" s="83"/>
      <c r="D78" s="83"/>
      <c r="E78" s="83"/>
      <c r="F78" s="83"/>
      <c r="G78" s="83"/>
      <c r="H78" s="83"/>
    </row>
    <row r="85" spans="1:8">
      <c r="A85" s="46"/>
      <c r="B85" s="84"/>
      <c r="C85" s="85"/>
      <c r="D85" s="85"/>
      <c r="E85" s="85"/>
      <c r="F85" s="85"/>
      <c r="G85" s="85"/>
      <c r="H85" s="85"/>
    </row>
  </sheetData>
  <mergeCells count="16">
    <mergeCell ref="A1:B3"/>
    <mergeCell ref="C1:H3"/>
    <mergeCell ref="C4:G4"/>
    <mergeCell ref="A5:A6"/>
    <mergeCell ref="B5:B6"/>
    <mergeCell ref="C5:C6"/>
    <mergeCell ref="D5:D6"/>
    <mergeCell ref="E5:F5"/>
    <mergeCell ref="G5:G6"/>
    <mergeCell ref="A73:C74"/>
    <mergeCell ref="F73:H74"/>
    <mergeCell ref="J28:N28"/>
    <mergeCell ref="J37:N37"/>
    <mergeCell ref="A70:B71"/>
    <mergeCell ref="C70:E71"/>
    <mergeCell ref="F70:H71"/>
  </mergeCells>
  <pageMargins left="0.7" right="0.7" top="0.75" bottom="0.75" header="0.3" footer="0.3"/>
  <pageSetup scale="61" orientation="portrait" horizontalDpi="4294967295" verticalDpi="4294967295" r:id="rId1"/>
  <colBreaks count="1" manualBreakCount="1">
    <brk id="8" max="104857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860FED-D8D5-4F23-851D-FDEAA91A732E}">
  <dimension ref="A1:J64"/>
  <sheetViews>
    <sheetView tabSelected="1" view="pageBreakPreview" topLeftCell="A6" zoomScale="96" zoomScaleNormal="128" zoomScaleSheetLayoutView="96" workbookViewId="0">
      <selection activeCell="B16" sqref="B16"/>
    </sheetView>
  </sheetViews>
  <sheetFormatPr defaultColWidth="9.140625" defaultRowHeight="14.45"/>
  <cols>
    <col min="1" max="1" width="3.85546875" customWidth="1"/>
    <col min="2" max="2" width="56" style="81" customWidth="1"/>
    <col min="3" max="3" width="12.5703125" style="69" customWidth="1"/>
    <col min="4" max="4" width="13.85546875" style="69" customWidth="1"/>
    <col min="5" max="5" width="8.42578125" style="69" customWidth="1"/>
    <col min="6" max="6" width="10.140625" style="69" customWidth="1"/>
    <col min="7" max="8" width="21.85546875" style="69" customWidth="1"/>
    <col min="9" max="251" width="11.42578125" customWidth="1"/>
    <col min="252" max="252" width="3.85546875" customWidth="1"/>
    <col min="253" max="253" width="37.85546875" customWidth="1"/>
    <col min="254" max="254" width="8.85546875" customWidth="1"/>
    <col min="255" max="255" width="12.5703125" customWidth="1"/>
    <col min="256" max="257" width="8.42578125" customWidth="1"/>
    <col min="258" max="258" width="12.85546875" bestFit="1" customWidth="1"/>
    <col min="259" max="259" width="11.42578125" customWidth="1"/>
    <col min="260" max="261" width="9.140625" customWidth="1"/>
    <col min="262" max="262" width="20.85546875" customWidth="1"/>
    <col min="263" max="263" width="11.85546875" customWidth="1"/>
    <col min="264" max="507" width="11.42578125" customWidth="1"/>
    <col min="508" max="508" width="3.85546875" customWidth="1"/>
    <col min="509" max="509" width="37.85546875" customWidth="1"/>
    <col min="510" max="510" width="8.85546875" customWidth="1"/>
    <col min="511" max="511" width="12.5703125" customWidth="1"/>
    <col min="512" max="513" width="8.42578125" customWidth="1"/>
    <col min="514" max="514" width="12.85546875" bestFit="1" customWidth="1"/>
    <col min="515" max="515" width="11.42578125" customWidth="1"/>
    <col min="516" max="517" width="9.140625" customWidth="1"/>
    <col min="518" max="518" width="20.85546875" customWidth="1"/>
    <col min="519" max="519" width="11.85546875" customWidth="1"/>
    <col min="520" max="763" width="11.42578125" customWidth="1"/>
    <col min="764" max="764" width="3.85546875" customWidth="1"/>
    <col min="765" max="765" width="37.85546875" customWidth="1"/>
    <col min="766" max="766" width="8.85546875" customWidth="1"/>
    <col min="767" max="767" width="12.5703125" customWidth="1"/>
    <col min="768" max="769" width="8.42578125" customWidth="1"/>
    <col min="770" max="770" width="12.85546875" bestFit="1" customWidth="1"/>
    <col min="771" max="771" width="11.42578125" customWidth="1"/>
    <col min="772" max="773" width="9.140625" customWidth="1"/>
    <col min="774" max="774" width="20.85546875" customWidth="1"/>
    <col min="775" max="775" width="11.85546875" customWidth="1"/>
    <col min="776" max="1019" width="11.42578125" customWidth="1"/>
    <col min="1020" max="1020" width="3.85546875" customWidth="1"/>
    <col min="1021" max="1021" width="37.85546875" customWidth="1"/>
    <col min="1022" max="1022" width="8.85546875" customWidth="1"/>
    <col min="1023" max="1023" width="12.5703125" customWidth="1"/>
    <col min="1024" max="1025" width="8.42578125" customWidth="1"/>
    <col min="1026" max="1026" width="12.85546875" bestFit="1" customWidth="1"/>
    <col min="1027" max="1027" width="11.42578125" customWidth="1"/>
    <col min="1028" max="1029" width="9.140625" customWidth="1"/>
    <col min="1030" max="1030" width="20.85546875" customWidth="1"/>
    <col min="1031" max="1031" width="11.85546875" customWidth="1"/>
    <col min="1032" max="1275" width="11.42578125" customWidth="1"/>
    <col min="1276" max="1276" width="3.85546875" customWidth="1"/>
    <col min="1277" max="1277" width="37.85546875" customWidth="1"/>
    <col min="1278" max="1278" width="8.85546875" customWidth="1"/>
    <col min="1279" max="1279" width="12.5703125" customWidth="1"/>
    <col min="1280" max="1281" width="8.42578125" customWidth="1"/>
    <col min="1282" max="1282" width="12.85546875" bestFit="1" customWidth="1"/>
    <col min="1283" max="1283" width="11.42578125" customWidth="1"/>
    <col min="1284" max="1285" width="9.140625" customWidth="1"/>
    <col min="1286" max="1286" width="20.85546875" customWidth="1"/>
    <col min="1287" max="1287" width="11.85546875" customWidth="1"/>
    <col min="1288" max="1531" width="11.42578125" customWidth="1"/>
    <col min="1532" max="1532" width="3.85546875" customWidth="1"/>
    <col min="1533" max="1533" width="37.85546875" customWidth="1"/>
    <col min="1534" max="1534" width="8.85546875" customWidth="1"/>
    <col min="1535" max="1535" width="12.5703125" customWidth="1"/>
    <col min="1536" max="1537" width="8.42578125" customWidth="1"/>
    <col min="1538" max="1538" width="12.85546875" bestFit="1" customWidth="1"/>
    <col min="1539" max="1539" width="11.42578125" customWidth="1"/>
    <col min="1540" max="1541" width="9.140625" customWidth="1"/>
    <col min="1542" max="1542" width="20.85546875" customWidth="1"/>
    <col min="1543" max="1543" width="11.85546875" customWidth="1"/>
    <col min="1544" max="1787" width="11.42578125" customWidth="1"/>
    <col min="1788" max="1788" width="3.85546875" customWidth="1"/>
    <col min="1789" max="1789" width="37.85546875" customWidth="1"/>
    <col min="1790" max="1790" width="8.85546875" customWidth="1"/>
    <col min="1791" max="1791" width="12.5703125" customWidth="1"/>
    <col min="1792" max="1793" width="8.42578125" customWidth="1"/>
    <col min="1794" max="1794" width="12.85546875" bestFit="1" customWidth="1"/>
    <col min="1795" max="1795" width="11.42578125" customWidth="1"/>
    <col min="1796" max="1797" width="9.140625" customWidth="1"/>
    <col min="1798" max="1798" width="20.85546875" customWidth="1"/>
    <col min="1799" max="1799" width="11.85546875" customWidth="1"/>
    <col min="1800" max="2043" width="11.42578125" customWidth="1"/>
    <col min="2044" max="2044" width="3.85546875" customWidth="1"/>
    <col min="2045" max="2045" width="37.85546875" customWidth="1"/>
    <col min="2046" max="2046" width="8.85546875" customWidth="1"/>
    <col min="2047" max="2047" width="12.5703125" customWidth="1"/>
    <col min="2048" max="2049" width="8.42578125" customWidth="1"/>
    <col min="2050" max="2050" width="12.85546875" bestFit="1" customWidth="1"/>
    <col min="2051" max="2051" width="11.42578125" customWidth="1"/>
    <col min="2052" max="2053" width="9.140625" customWidth="1"/>
    <col min="2054" max="2054" width="20.85546875" customWidth="1"/>
    <col min="2055" max="2055" width="11.85546875" customWidth="1"/>
    <col min="2056" max="2299" width="11.42578125" customWidth="1"/>
    <col min="2300" max="2300" width="3.85546875" customWidth="1"/>
    <col min="2301" max="2301" width="37.85546875" customWidth="1"/>
    <col min="2302" max="2302" width="8.85546875" customWidth="1"/>
    <col min="2303" max="2303" width="12.5703125" customWidth="1"/>
    <col min="2304" max="2305" width="8.42578125" customWidth="1"/>
    <col min="2306" max="2306" width="12.85546875" bestFit="1" customWidth="1"/>
    <col min="2307" max="2307" width="11.42578125" customWidth="1"/>
    <col min="2308" max="2309" width="9.140625" customWidth="1"/>
    <col min="2310" max="2310" width="20.85546875" customWidth="1"/>
    <col min="2311" max="2311" width="11.85546875" customWidth="1"/>
    <col min="2312" max="2555" width="11.42578125" customWidth="1"/>
    <col min="2556" max="2556" width="3.85546875" customWidth="1"/>
    <col min="2557" max="2557" width="37.85546875" customWidth="1"/>
    <col min="2558" max="2558" width="8.85546875" customWidth="1"/>
    <col min="2559" max="2559" width="12.5703125" customWidth="1"/>
    <col min="2560" max="2561" width="8.42578125" customWidth="1"/>
    <col min="2562" max="2562" width="12.85546875" bestFit="1" customWidth="1"/>
    <col min="2563" max="2563" width="11.42578125" customWidth="1"/>
    <col min="2564" max="2565" width="9.140625" customWidth="1"/>
    <col min="2566" max="2566" width="20.85546875" customWidth="1"/>
    <col min="2567" max="2567" width="11.85546875" customWidth="1"/>
    <col min="2568" max="2811" width="11.42578125" customWidth="1"/>
    <col min="2812" max="2812" width="3.85546875" customWidth="1"/>
    <col min="2813" max="2813" width="37.85546875" customWidth="1"/>
    <col min="2814" max="2814" width="8.85546875" customWidth="1"/>
    <col min="2815" max="2815" width="12.5703125" customWidth="1"/>
    <col min="2816" max="2817" width="8.42578125" customWidth="1"/>
    <col min="2818" max="2818" width="12.85546875" bestFit="1" customWidth="1"/>
    <col min="2819" max="2819" width="11.42578125" customWidth="1"/>
    <col min="2820" max="2821" width="9.140625" customWidth="1"/>
    <col min="2822" max="2822" width="20.85546875" customWidth="1"/>
    <col min="2823" max="2823" width="11.85546875" customWidth="1"/>
    <col min="2824" max="3067" width="11.42578125" customWidth="1"/>
    <col min="3068" max="3068" width="3.85546875" customWidth="1"/>
    <col min="3069" max="3069" width="37.85546875" customWidth="1"/>
    <col min="3070" max="3070" width="8.85546875" customWidth="1"/>
    <col min="3071" max="3071" width="12.5703125" customWidth="1"/>
    <col min="3072" max="3073" width="8.42578125" customWidth="1"/>
    <col min="3074" max="3074" width="12.85546875" bestFit="1" customWidth="1"/>
    <col min="3075" max="3075" width="11.42578125" customWidth="1"/>
    <col min="3076" max="3077" width="9.140625" customWidth="1"/>
    <col min="3078" max="3078" width="20.85546875" customWidth="1"/>
    <col min="3079" max="3079" width="11.85546875" customWidth="1"/>
    <col min="3080" max="3323" width="11.42578125" customWidth="1"/>
    <col min="3324" max="3324" width="3.85546875" customWidth="1"/>
    <col min="3325" max="3325" width="37.85546875" customWidth="1"/>
    <col min="3326" max="3326" width="8.85546875" customWidth="1"/>
    <col min="3327" max="3327" width="12.5703125" customWidth="1"/>
    <col min="3328" max="3329" width="8.42578125" customWidth="1"/>
    <col min="3330" max="3330" width="12.85546875" bestFit="1" customWidth="1"/>
    <col min="3331" max="3331" width="11.42578125" customWidth="1"/>
    <col min="3332" max="3333" width="9.140625" customWidth="1"/>
    <col min="3334" max="3334" width="20.85546875" customWidth="1"/>
    <col min="3335" max="3335" width="11.85546875" customWidth="1"/>
    <col min="3336" max="3579" width="11.42578125" customWidth="1"/>
    <col min="3580" max="3580" width="3.85546875" customWidth="1"/>
    <col min="3581" max="3581" width="37.85546875" customWidth="1"/>
    <col min="3582" max="3582" width="8.85546875" customWidth="1"/>
    <col min="3583" max="3583" width="12.5703125" customWidth="1"/>
    <col min="3584" max="3585" width="8.42578125" customWidth="1"/>
    <col min="3586" max="3586" width="12.85546875" bestFit="1" customWidth="1"/>
    <col min="3587" max="3587" width="11.42578125" customWidth="1"/>
    <col min="3588" max="3589" width="9.140625" customWidth="1"/>
    <col min="3590" max="3590" width="20.85546875" customWidth="1"/>
    <col min="3591" max="3591" width="11.85546875" customWidth="1"/>
    <col min="3592" max="3835" width="11.42578125" customWidth="1"/>
    <col min="3836" max="3836" width="3.85546875" customWidth="1"/>
    <col min="3837" max="3837" width="37.85546875" customWidth="1"/>
    <col min="3838" max="3838" width="8.85546875" customWidth="1"/>
    <col min="3839" max="3839" width="12.5703125" customWidth="1"/>
    <col min="3840" max="3841" width="8.42578125" customWidth="1"/>
    <col min="3842" max="3842" width="12.85546875" bestFit="1" customWidth="1"/>
    <col min="3843" max="3843" width="11.42578125" customWidth="1"/>
    <col min="3844" max="3845" width="9.140625" customWidth="1"/>
    <col min="3846" max="3846" width="20.85546875" customWidth="1"/>
    <col min="3847" max="3847" width="11.85546875" customWidth="1"/>
    <col min="3848" max="4091" width="11.42578125" customWidth="1"/>
    <col min="4092" max="4092" width="3.85546875" customWidth="1"/>
    <col min="4093" max="4093" width="37.85546875" customWidth="1"/>
    <col min="4094" max="4094" width="8.85546875" customWidth="1"/>
    <col min="4095" max="4095" width="12.5703125" customWidth="1"/>
    <col min="4096" max="4097" width="8.42578125" customWidth="1"/>
    <col min="4098" max="4098" width="12.85546875" bestFit="1" customWidth="1"/>
    <col min="4099" max="4099" width="11.42578125" customWidth="1"/>
    <col min="4100" max="4101" width="9.140625" customWidth="1"/>
    <col min="4102" max="4102" width="20.85546875" customWidth="1"/>
    <col min="4103" max="4103" width="11.85546875" customWidth="1"/>
    <col min="4104" max="4347" width="11.42578125" customWidth="1"/>
    <col min="4348" max="4348" width="3.85546875" customWidth="1"/>
    <col min="4349" max="4349" width="37.85546875" customWidth="1"/>
    <col min="4350" max="4350" width="8.85546875" customWidth="1"/>
    <col min="4351" max="4351" width="12.5703125" customWidth="1"/>
    <col min="4352" max="4353" width="8.42578125" customWidth="1"/>
    <col min="4354" max="4354" width="12.85546875" bestFit="1" customWidth="1"/>
    <col min="4355" max="4355" width="11.42578125" customWidth="1"/>
    <col min="4356" max="4357" width="9.140625" customWidth="1"/>
    <col min="4358" max="4358" width="20.85546875" customWidth="1"/>
    <col min="4359" max="4359" width="11.85546875" customWidth="1"/>
    <col min="4360" max="4603" width="11.42578125" customWidth="1"/>
    <col min="4604" max="4604" width="3.85546875" customWidth="1"/>
    <col min="4605" max="4605" width="37.85546875" customWidth="1"/>
    <col min="4606" max="4606" width="8.85546875" customWidth="1"/>
    <col min="4607" max="4607" width="12.5703125" customWidth="1"/>
    <col min="4608" max="4609" width="8.42578125" customWidth="1"/>
    <col min="4610" max="4610" width="12.85546875" bestFit="1" customWidth="1"/>
    <col min="4611" max="4611" width="11.42578125" customWidth="1"/>
    <col min="4612" max="4613" width="9.140625" customWidth="1"/>
    <col min="4614" max="4614" width="20.85546875" customWidth="1"/>
    <col min="4615" max="4615" width="11.85546875" customWidth="1"/>
    <col min="4616" max="4859" width="11.42578125" customWidth="1"/>
    <col min="4860" max="4860" width="3.85546875" customWidth="1"/>
    <col min="4861" max="4861" width="37.85546875" customWidth="1"/>
    <col min="4862" max="4862" width="8.85546875" customWidth="1"/>
    <col min="4863" max="4863" width="12.5703125" customWidth="1"/>
    <col min="4864" max="4865" width="8.42578125" customWidth="1"/>
    <col min="4866" max="4866" width="12.85546875" bestFit="1" customWidth="1"/>
    <col min="4867" max="4867" width="11.42578125" customWidth="1"/>
    <col min="4868" max="4869" width="9.140625" customWidth="1"/>
    <col min="4870" max="4870" width="20.85546875" customWidth="1"/>
    <col min="4871" max="4871" width="11.85546875" customWidth="1"/>
    <col min="4872" max="5115" width="11.42578125" customWidth="1"/>
    <col min="5116" max="5116" width="3.85546875" customWidth="1"/>
    <col min="5117" max="5117" width="37.85546875" customWidth="1"/>
    <col min="5118" max="5118" width="8.85546875" customWidth="1"/>
    <col min="5119" max="5119" width="12.5703125" customWidth="1"/>
    <col min="5120" max="5121" width="8.42578125" customWidth="1"/>
    <col min="5122" max="5122" width="12.85546875" bestFit="1" customWidth="1"/>
    <col min="5123" max="5123" width="11.42578125" customWidth="1"/>
    <col min="5124" max="5125" width="9.140625" customWidth="1"/>
    <col min="5126" max="5126" width="20.85546875" customWidth="1"/>
    <col min="5127" max="5127" width="11.85546875" customWidth="1"/>
    <col min="5128" max="5371" width="11.42578125" customWidth="1"/>
    <col min="5372" max="5372" width="3.85546875" customWidth="1"/>
    <col min="5373" max="5373" width="37.85546875" customWidth="1"/>
    <col min="5374" max="5374" width="8.85546875" customWidth="1"/>
    <col min="5375" max="5375" width="12.5703125" customWidth="1"/>
    <col min="5376" max="5377" width="8.42578125" customWidth="1"/>
    <col min="5378" max="5378" width="12.85546875" bestFit="1" customWidth="1"/>
    <col min="5379" max="5379" width="11.42578125" customWidth="1"/>
    <col min="5380" max="5381" width="9.140625" customWidth="1"/>
    <col min="5382" max="5382" width="20.85546875" customWidth="1"/>
    <col min="5383" max="5383" width="11.85546875" customWidth="1"/>
    <col min="5384" max="5627" width="11.42578125" customWidth="1"/>
    <col min="5628" max="5628" width="3.85546875" customWidth="1"/>
    <col min="5629" max="5629" width="37.85546875" customWidth="1"/>
    <col min="5630" max="5630" width="8.85546875" customWidth="1"/>
    <col min="5631" max="5631" width="12.5703125" customWidth="1"/>
    <col min="5632" max="5633" width="8.42578125" customWidth="1"/>
    <col min="5634" max="5634" width="12.85546875" bestFit="1" customWidth="1"/>
    <col min="5635" max="5635" width="11.42578125" customWidth="1"/>
    <col min="5636" max="5637" width="9.140625" customWidth="1"/>
    <col min="5638" max="5638" width="20.85546875" customWidth="1"/>
    <col min="5639" max="5639" width="11.85546875" customWidth="1"/>
    <col min="5640" max="5883" width="11.42578125" customWidth="1"/>
    <col min="5884" max="5884" width="3.85546875" customWidth="1"/>
    <col min="5885" max="5885" width="37.85546875" customWidth="1"/>
    <col min="5886" max="5886" width="8.85546875" customWidth="1"/>
    <col min="5887" max="5887" width="12.5703125" customWidth="1"/>
    <col min="5888" max="5889" width="8.42578125" customWidth="1"/>
    <col min="5890" max="5890" width="12.85546875" bestFit="1" customWidth="1"/>
    <col min="5891" max="5891" width="11.42578125" customWidth="1"/>
    <col min="5892" max="5893" width="9.140625" customWidth="1"/>
    <col min="5894" max="5894" width="20.85546875" customWidth="1"/>
    <col min="5895" max="5895" width="11.85546875" customWidth="1"/>
    <col min="5896" max="6139" width="11.42578125" customWidth="1"/>
    <col min="6140" max="6140" width="3.85546875" customWidth="1"/>
    <col min="6141" max="6141" width="37.85546875" customWidth="1"/>
    <col min="6142" max="6142" width="8.85546875" customWidth="1"/>
    <col min="6143" max="6143" width="12.5703125" customWidth="1"/>
    <col min="6144" max="6145" width="8.42578125" customWidth="1"/>
    <col min="6146" max="6146" width="12.85546875" bestFit="1" customWidth="1"/>
    <col min="6147" max="6147" width="11.42578125" customWidth="1"/>
    <col min="6148" max="6149" width="9.140625" customWidth="1"/>
    <col min="6150" max="6150" width="20.85546875" customWidth="1"/>
    <col min="6151" max="6151" width="11.85546875" customWidth="1"/>
    <col min="6152" max="6395" width="11.42578125" customWidth="1"/>
    <col min="6396" max="6396" width="3.85546875" customWidth="1"/>
    <col min="6397" max="6397" width="37.85546875" customWidth="1"/>
    <col min="6398" max="6398" width="8.85546875" customWidth="1"/>
    <col min="6399" max="6399" width="12.5703125" customWidth="1"/>
    <col min="6400" max="6401" width="8.42578125" customWidth="1"/>
    <col min="6402" max="6402" width="12.85546875" bestFit="1" customWidth="1"/>
    <col min="6403" max="6403" width="11.42578125" customWidth="1"/>
    <col min="6404" max="6405" width="9.140625" customWidth="1"/>
    <col min="6406" max="6406" width="20.85546875" customWidth="1"/>
    <col min="6407" max="6407" width="11.85546875" customWidth="1"/>
    <col min="6408" max="6651" width="11.42578125" customWidth="1"/>
    <col min="6652" max="6652" width="3.85546875" customWidth="1"/>
    <col min="6653" max="6653" width="37.85546875" customWidth="1"/>
    <col min="6654" max="6654" width="8.85546875" customWidth="1"/>
    <col min="6655" max="6655" width="12.5703125" customWidth="1"/>
    <col min="6656" max="6657" width="8.42578125" customWidth="1"/>
    <col min="6658" max="6658" width="12.85546875" bestFit="1" customWidth="1"/>
    <col min="6659" max="6659" width="11.42578125" customWidth="1"/>
    <col min="6660" max="6661" width="9.140625" customWidth="1"/>
    <col min="6662" max="6662" width="20.85546875" customWidth="1"/>
    <col min="6663" max="6663" width="11.85546875" customWidth="1"/>
    <col min="6664" max="6907" width="11.42578125" customWidth="1"/>
    <col min="6908" max="6908" width="3.85546875" customWidth="1"/>
    <col min="6909" max="6909" width="37.85546875" customWidth="1"/>
    <col min="6910" max="6910" width="8.85546875" customWidth="1"/>
    <col min="6911" max="6911" width="12.5703125" customWidth="1"/>
    <col min="6912" max="6913" width="8.42578125" customWidth="1"/>
    <col min="6914" max="6914" width="12.85546875" bestFit="1" customWidth="1"/>
    <col min="6915" max="6915" width="11.42578125" customWidth="1"/>
    <col min="6916" max="6917" width="9.140625" customWidth="1"/>
    <col min="6918" max="6918" width="20.85546875" customWidth="1"/>
    <col min="6919" max="6919" width="11.85546875" customWidth="1"/>
    <col min="6920" max="7163" width="11.42578125" customWidth="1"/>
    <col min="7164" max="7164" width="3.85546875" customWidth="1"/>
    <col min="7165" max="7165" width="37.85546875" customWidth="1"/>
    <col min="7166" max="7166" width="8.85546875" customWidth="1"/>
    <col min="7167" max="7167" width="12.5703125" customWidth="1"/>
    <col min="7168" max="7169" width="8.42578125" customWidth="1"/>
    <col min="7170" max="7170" width="12.85546875" bestFit="1" customWidth="1"/>
    <col min="7171" max="7171" width="11.42578125" customWidth="1"/>
    <col min="7172" max="7173" width="9.140625" customWidth="1"/>
    <col min="7174" max="7174" width="20.85546875" customWidth="1"/>
    <col min="7175" max="7175" width="11.85546875" customWidth="1"/>
    <col min="7176" max="7419" width="11.42578125" customWidth="1"/>
    <col min="7420" max="7420" width="3.85546875" customWidth="1"/>
    <col min="7421" max="7421" width="37.85546875" customWidth="1"/>
    <col min="7422" max="7422" width="8.85546875" customWidth="1"/>
    <col min="7423" max="7423" width="12.5703125" customWidth="1"/>
    <col min="7424" max="7425" width="8.42578125" customWidth="1"/>
    <col min="7426" max="7426" width="12.85546875" bestFit="1" customWidth="1"/>
    <col min="7427" max="7427" width="11.42578125" customWidth="1"/>
    <col min="7428" max="7429" width="9.140625" customWidth="1"/>
    <col min="7430" max="7430" width="20.85546875" customWidth="1"/>
    <col min="7431" max="7431" width="11.85546875" customWidth="1"/>
    <col min="7432" max="7675" width="11.42578125" customWidth="1"/>
    <col min="7676" max="7676" width="3.85546875" customWidth="1"/>
    <col min="7677" max="7677" width="37.85546875" customWidth="1"/>
    <col min="7678" max="7678" width="8.85546875" customWidth="1"/>
    <col min="7679" max="7679" width="12.5703125" customWidth="1"/>
    <col min="7680" max="7681" width="8.42578125" customWidth="1"/>
    <col min="7682" max="7682" width="12.85546875" bestFit="1" customWidth="1"/>
    <col min="7683" max="7683" width="11.42578125" customWidth="1"/>
    <col min="7684" max="7685" width="9.140625" customWidth="1"/>
    <col min="7686" max="7686" width="20.85546875" customWidth="1"/>
    <col min="7687" max="7687" width="11.85546875" customWidth="1"/>
    <col min="7688" max="7931" width="11.42578125" customWidth="1"/>
    <col min="7932" max="7932" width="3.85546875" customWidth="1"/>
    <col min="7933" max="7933" width="37.85546875" customWidth="1"/>
    <col min="7934" max="7934" width="8.85546875" customWidth="1"/>
    <col min="7935" max="7935" width="12.5703125" customWidth="1"/>
    <col min="7936" max="7937" width="8.42578125" customWidth="1"/>
    <col min="7938" max="7938" width="12.85546875" bestFit="1" customWidth="1"/>
    <col min="7939" max="7939" width="11.42578125" customWidth="1"/>
    <col min="7940" max="7941" width="9.140625" customWidth="1"/>
    <col min="7942" max="7942" width="20.85546875" customWidth="1"/>
    <col min="7943" max="7943" width="11.85546875" customWidth="1"/>
    <col min="7944" max="8187" width="11.42578125" customWidth="1"/>
    <col min="8188" max="8188" width="3.85546875" customWidth="1"/>
    <col min="8189" max="8189" width="37.85546875" customWidth="1"/>
    <col min="8190" max="8190" width="8.85546875" customWidth="1"/>
    <col min="8191" max="8191" width="12.5703125" customWidth="1"/>
    <col min="8192" max="8193" width="8.42578125" customWidth="1"/>
    <col min="8194" max="8194" width="12.85546875" bestFit="1" customWidth="1"/>
    <col min="8195" max="8195" width="11.42578125" customWidth="1"/>
    <col min="8196" max="8197" width="9.140625" customWidth="1"/>
    <col min="8198" max="8198" width="20.85546875" customWidth="1"/>
    <col min="8199" max="8199" width="11.85546875" customWidth="1"/>
    <col min="8200" max="8443" width="11.42578125" customWidth="1"/>
    <col min="8444" max="8444" width="3.85546875" customWidth="1"/>
    <col min="8445" max="8445" width="37.85546875" customWidth="1"/>
    <col min="8446" max="8446" width="8.85546875" customWidth="1"/>
    <col min="8447" max="8447" width="12.5703125" customWidth="1"/>
    <col min="8448" max="8449" width="8.42578125" customWidth="1"/>
    <col min="8450" max="8450" width="12.85546875" bestFit="1" customWidth="1"/>
    <col min="8451" max="8451" width="11.42578125" customWidth="1"/>
    <col min="8452" max="8453" width="9.140625" customWidth="1"/>
    <col min="8454" max="8454" width="20.85546875" customWidth="1"/>
    <col min="8455" max="8455" width="11.85546875" customWidth="1"/>
    <col min="8456" max="8699" width="11.42578125" customWidth="1"/>
    <col min="8700" max="8700" width="3.85546875" customWidth="1"/>
    <col min="8701" max="8701" width="37.85546875" customWidth="1"/>
    <col min="8702" max="8702" width="8.85546875" customWidth="1"/>
    <col min="8703" max="8703" width="12.5703125" customWidth="1"/>
    <col min="8704" max="8705" width="8.42578125" customWidth="1"/>
    <col min="8706" max="8706" width="12.85546875" bestFit="1" customWidth="1"/>
    <col min="8707" max="8707" width="11.42578125" customWidth="1"/>
    <col min="8708" max="8709" width="9.140625" customWidth="1"/>
    <col min="8710" max="8710" width="20.85546875" customWidth="1"/>
    <col min="8711" max="8711" width="11.85546875" customWidth="1"/>
    <col min="8712" max="8955" width="11.42578125" customWidth="1"/>
    <col min="8956" max="8956" width="3.85546875" customWidth="1"/>
    <col min="8957" max="8957" width="37.85546875" customWidth="1"/>
    <col min="8958" max="8958" width="8.85546875" customWidth="1"/>
    <col min="8959" max="8959" width="12.5703125" customWidth="1"/>
    <col min="8960" max="8961" width="8.42578125" customWidth="1"/>
    <col min="8962" max="8962" width="12.85546875" bestFit="1" customWidth="1"/>
    <col min="8963" max="8963" width="11.42578125" customWidth="1"/>
    <col min="8964" max="8965" width="9.140625" customWidth="1"/>
    <col min="8966" max="8966" width="20.85546875" customWidth="1"/>
    <col min="8967" max="8967" width="11.85546875" customWidth="1"/>
    <col min="8968" max="9211" width="11.42578125" customWidth="1"/>
    <col min="9212" max="9212" width="3.85546875" customWidth="1"/>
    <col min="9213" max="9213" width="37.85546875" customWidth="1"/>
    <col min="9214" max="9214" width="8.85546875" customWidth="1"/>
    <col min="9215" max="9215" width="12.5703125" customWidth="1"/>
    <col min="9216" max="9217" width="8.42578125" customWidth="1"/>
    <col min="9218" max="9218" width="12.85546875" bestFit="1" customWidth="1"/>
    <col min="9219" max="9219" width="11.42578125" customWidth="1"/>
    <col min="9220" max="9221" width="9.140625" customWidth="1"/>
    <col min="9222" max="9222" width="20.85546875" customWidth="1"/>
    <col min="9223" max="9223" width="11.85546875" customWidth="1"/>
    <col min="9224" max="9467" width="11.42578125" customWidth="1"/>
    <col min="9468" max="9468" width="3.85546875" customWidth="1"/>
    <col min="9469" max="9469" width="37.85546875" customWidth="1"/>
    <col min="9470" max="9470" width="8.85546875" customWidth="1"/>
    <col min="9471" max="9471" width="12.5703125" customWidth="1"/>
    <col min="9472" max="9473" width="8.42578125" customWidth="1"/>
    <col min="9474" max="9474" width="12.85546875" bestFit="1" customWidth="1"/>
    <col min="9475" max="9475" width="11.42578125" customWidth="1"/>
    <col min="9476" max="9477" width="9.140625" customWidth="1"/>
    <col min="9478" max="9478" width="20.85546875" customWidth="1"/>
    <col min="9479" max="9479" width="11.85546875" customWidth="1"/>
    <col min="9480" max="9723" width="11.42578125" customWidth="1"/>
    <col min="9724" max="9724" width="3.85546875" customWidth="1"/>
    <col min="9725" max="9725" width="37.85546875" customWidth="1"/>
    <col min="9726" max="9726" width="8.85546875" customWidth="1"/>
    <col min="9727" max="9727" width="12.5703125" customWidth="1"/>
    <col min="9728" max="9729" width="8.42578125" customWidth="1"/>
    <col min="9730" max="9730" width="12.85546875" bestFit="1" customWidth="1"/>
    <col min="9731" max="9731" width="11.42578125" customWidth="1"/>
    <col min="9732" max="9733" width="9.140625" customWidth="1"/>
    <col min="9734" max="9734" width="20.85546875" customWidth="1"/>
    <col min="9735" max="9735" width="11.85546875" customWidth="1"/>
    <col min="9736" max="9979" width="11.42578125" customWidth="1"/>
    <col min="9980" max="9980" width="3.85546875" customWidth="1"/>
    <col min="9981" max="9981" width="37.85546875" customWidth="1"/>
    <col min="9982" max="9982" width="8.85546875" customWidth="1"/>
    <col min="9983" max="9983" width="12.5703125" customWidth="1"/>
    <col min="9984" max="9985" width="8.42578125" customWidth="1"/>
    <col min="9986" max="9986" width="12.85546875" bestFit="1" customWidth="1"/>
    <col min="9987" max="9987" width="11.42578125" customWidth="1"/>
    <col min="9988" max="9989" width="9.140625" customWidth="1"/>
    <col min="9990" max="9990" width="20.85546875" customWidth="1"/>
    <col min="9991" max="9991" width="11.85546875" customWidth="1"/>
    <col min="9992" max="10235" width="11.42578125" customWidth="1"/>
    <col min="10236" max="10236" width="3.85546875" customWidth="1"/>
    <col min="10237" max="10237" width="37.85546875" customWidth="1"/>
    <col min="10238" max="10238" width="8.85546875" customWidth="1"/>
    <col min="10239" max="10239" width="12.5703125" customWidth="1"/>
    <col min="10240" max="10241" width="8.42578125" customWidth="1"/>
    <col min="10242" max="10242" width="12.85546875" bestFit="1" customWidth="1"/>
    <col min="10243" max="10243" width="11.42578125" customWidth="1"/>
    <col min="10244" max="10245" width="9.140625" customWidth="1"/>
    <col min="10246" max="10246" width="20.85546875" customWidth="1"/>
    <col min="10247" max="10247" width="11.85546875" customWidth="1"/>
    <col min="10248" max="10491" width="11.42578125" customWidth="1"/>
    <col min="10492" max="10492" width="3.85546875" customWidth="1"/>
    <col min="10493" max="10493" width="37.85546875" customWidth="1"/>
    <col min="10494" max="10494" width="8.85546875" customWidth="1"/>
    <col min="10495" max="10495" width="12.5703125" customWidth="1"/>
    <col min="10496" max="10497" width="8.42578125" customWidth="1"/>
    <col min="10498" max="10498" width="12.85546875" bestFit="1" customWidth="1"/>
    <col min="10499" max="10499" width="11.42578125" customWidth="1"/>
    <col min="10500" max="10501" width="9.140625" customWidth="1"/>
    <col min="10502" max="10502" width="20.85546875" customWidth="1"/>
    <col min="10503" max="10503" width="11.85546875" customWidth="1"/>
    <col min="10504" max="10747" width="11.42578125" customWidth="1"/>
    <col min="10748" max="10748" width="3.85546875" customWidth="1"/>
    <col min="10749" max="10749" width="37.85546875" customWidth="1"/>
    <col min="10750" max="10750" width="8.85546875" customWidth="1"/>
    <col min="10751" max="10751" width="12.5703125" customWidth="1"/>
    <col min="10752" max="10753" width="8.42578125" customWidth="1"/>
    <col min="10754" max="10754" width="12.85546875" bestFit="1" customWidth="1"/>
    <col min="10755" max="10755" width="11.42578125" customWidth="1"/>
    <col min="10756" max="10757" width="9.140625" customWidth="1"/>
    <col min="10758" max="10758" width="20.85546875" customWidth="1"/>
    <col min="10759" max="10759" width="11.85546875" customWidth="1"/>
    <col min="10760" max="11003" width="11.42578125" customWidth="1"/>
    <col min="11004" max="11004" width="3.85546875" customWidth="1"/>
    <col min="11005" max="11005" width="37.85546875" customWidth="1"/>
    <col min="11006" max="11006" width="8.85546875" customWidth="1"/>
    <col min="11007" max="11007" width="12.5703125" customWidth="1"/>
    <col min="11008" max="11009" width="8.42578125" customWidth="1"/>
    <col min="11010" max="11010" width="12.85546875" bestFit="1" customWidth="1"/>
    <col min="11011" max="11011" width="11.42578125" customWidth="1"/>
    <col min="11012" max="11013" width="9.140625" customWidth="1"/>
    <col min="11014" max="11014" width="20.85546875" customWidth="1"/>
    <col min="11015" max="11015" width="11.85546875" customWidth="1"/>
    <col min="11016" max="11259" width="11.42578125" customWidth="1"/>
    <col min="11260" max="11260" width="3.85546875" customWidth="1"/>
    <col min="11261" max="11261" width="37.85546875" customWidth="1"/>
    <col min="11262" max="11262" width="8.85546875" customWidth="1"/>
    <col min="11263" max="11263" width="12.5703125" customWidth="1"/>
    <col min="11264" max="11265" width="8.42578125" customWidth="1"/>
    <col min="11266" max="11266" width="12.85546875" bestFit="1" customWidth="1"/>
    <col min="11267" max="11267" width="11.42578125" customWidth="1"/>
    <col min="11268" max="11269" width="9.140625" customWidth="1"/>
    <col min="11270" max="11270" width="20.85546875" customWidth="1"/>
    <col min="11271" max="11271" width="11.85546875" customWidth="1"/>
    <col min="11272" max="11515" width="11.42578125" customWidth="1"/>
    <col min="11516" max="11516" width="3.85546875" customWidth="1"/>
    <col min="11517" max="11517" width="37.85546875" customWidth="1"/>
    <col min="11518" max="11518" width="8.85546875" customWidth="1"/>
    <col min="11519" max="11519" width="12.5703125" customWidth="1"/>
    <col min="11520" max="11521" width="8.42578125" customWidth="1"/>
    <col min="11522" max="11522" width="12.85546875" bestFit="1" customWidth="1"/>
    <col min="11523" max="11523" width="11.42578125" customWidth="1"/>
    <col min="11524" max="11525" width="9.140625" customWidth="1"/>
    <col min="11526" max="11526" width="20.85546875" customWidth="1"/>
    <col min="11527" max="11527" width="11.85546875" customWidth="1"/>
    <col min="11528" max="11771" width="11.42578125" customWidth="1"/>
    <col min="11772" max="11772" width="3.85546875" customWidth="1"/>
    <col min="11773" max="11773" width="37.85546875" customWidth="1"/>
    <col min="11774" max="11774" width="8.85546875" customWidth="1"/>
    <col min="11775" max="11775" width="12.5703125" customWidth="1"/>
    <col min="11776" max="11777" width="8.42578125" customWidth="1"/>
    <col min="11778" max="11778" width="12.85546875" bestFit="1" customWidth="1"/>
    <col min="11779" max="11779" width="11.42578125" customWidth="1"/>
    <col min="11780" max="11781" width="9.140625" customWidth="1"/>
    <col min="11782" max="11782" width="20.85546875" customWidth="1"/>
    <col min="11783" max="11783" width="11.85546875" customWidth="1"/>
    <col min="11784" max="12027" width="11.42578125" customWidth="1"/>
    <col min="12028" max="12028" width="3.85546875" customWidth="1"/>
    <col min="12029" max="12029" width="37.85546875" customWidth="1"/>
    <col min="12030" max="12030" width="8.85546875" customWidth="1"/>
    <col min="12031" max="12031" width="12.5703125" customWidth="1"/>
    <col min="12032" max="12033" width="8.42578125" customWidth="1"/>
    <col min="12034" max="12034" width="12.85546875" bestFit="1" customWidth="1"/>
    <col min="12035" max="12035" width="11.42578125" customWidth="1"/>
    <col min="12036" max="12037" width="9.140625" customWidth="1"/>
    <col min="12038" max="12038" width="20.85546875" customWidth="1"/>
    <col min="12039" max="12039" width="11.85546875" customWidth="1"/>
    <col min="12040" max="12283" width="11.42578125" customWidth="1"/>
    <col min="12284" max="12284" width="3.85546875" customWidth="1"/>
    <col min="12285" max="12285" width="37.85546875" customWidth="1"/>
    <col min="12286" max="12286" width="8.85546875" customWidth="1"/>
    <col min="12287" max="12287" width="12.5703125" customWidth="1"/>
    <col min="12288" max="12289" width="8.42578125" customWidth="1"/>
    <col min="12290" max="12290" width="12.85546875" bestFit="1" customWidth="1"/>
    <col min="12291" max="12291" width="11.42578125" customWidth="1"/>
    <col min="12292" max="12293" width="9.140625" customWidth="1"/>
    <col min="12294" max="12294" width="20.85546875" customWidth="1"/>
    <col min="12295" max="12295" width="11.85546875" customWidth="1"/>
    <col min="12296" max="12539" width="11.42578125" customWidth="1"/>
    <col min="12540" max="12540" width="3.85546875" customWidth="1"/>
    <col min="12541" max="12541" width="37.85546875" customWidth="1"/>
    <col min="12542" max="12542" width="8.85546875" customWidth="1"/>
    <col min="12543" max="12543" width="12.5703125" customWidth="1"/>
    <col min="12544" max="12545" width="8.42578125" customWidth="1"/>
    <col min="12546" max="12546" width="12.85546875" bestFit="1" customWidth="1"/>
    <col min="12547" max="12547" width="11.42578125" customWidth="1"/>
    <col min="12548" max="12549" width="9.140625" customWidth="1"/>
    <col min="12550" max="12550" width="20.85546875" customWidth="1"/>
    <col min="12551" max="12551" width="11.85546875" customWidth="1"/>
    <col min="12552" max="12795" width="11.42578125" customWidth="1"/>
    <col min="12796" max="12796" width="3.85546875" customWidth="1"/>
    <col min="12797" max="12797" width="37.85546875" customWidth="1"/>
    <col min="12798" max="12798" width="8.85546875" customWidth="1"/>
    <col min="12799" max="12799" width="12.5703125" customWidth="1"/>
    <col min="12800" max="12801" width="8.42578125" customWidth="1"/>
    <col min="12802" max="12802" width="12.85546875" bestFit="1" customWidth="1"/>
    <col min="12803" max="12803" width="11.42578125" customWidth="1"/>
    <col min="12804" max="12805" width="9.140625" customWidth="1"/>
    <col min="12806" max="12806" width="20.85546875" customWidth="1"/>
    <col min="12807" max="12807" width="11.85546875" customWidth="1"/>
    <col min="12808" max="13051" width="11.42578125" customWidth="1"/>
    <col min="13052" max="13052" width="3.85546875" customWidth="1"/>
    <col min="13053" max="13053" width="37.85546875" customWidth="1"/>
    <col min="13054" max="13054" width="8.85546875" customWidth="1"/>
    <col min="13055" max="13055" width="12.5703125" customWidth="1"/>
    <col min="13056" max="13057" width="8.42578125" customWidth="1"/>
    <col min="13058" max="13058" width="12.85546875" bestFit="1" customWidth="1"/>
    <col min="13059" max="13059" width="11.42578125" customWidth="1"/>
    <col min="13060" max="13061" width="9.140625" customWidth="1"/>
    <col min="13062" max="13062" width="20.85546875" customWidth="1"/>
    <col min="13063" max="13063" width="11.85546875" customWidth="1"/>
    <col min="13064" max="13307" width="11.42578125" customWidth="1"/>
    <col min="13308" max="13308" width="3.85546875" customWidth="1"/>
    <col min="13309" max="13309" width="37.85546875" customWidth="1"/>
    <col min="13310" max="13310" width="8.85546875" customWidth="1"/>
    <col min="13311" max="13311" width="12.5703125" customWidth="1"/>
    <col min="13312" max="13313" width="8.42578125" customWidth="1"/>
    <col min="13314" max="13314" width="12.85546875" bestFit="1" customWidth="1"/>
    <col min="13315" max="13315" width="11.42578125" customWidth="1"/>
    <col min="13316" max="13317" width="9.140625" customWidth="1"/>
    <col min="13318" max="13318" width="20.85546875" customWidth="1"/>
    <col min="13319" max="13319" width="11.85546875" customWidth="1"/>
    <col min="13320" max="13563" width="11.42578125" customWidth="1"/>
    <col min="13564" max="13564" width="3.85546875" customWidth="1"/>
    <col min="13565" max="13565" width="37.85546875" customWidth="1"/>
    <col min="13566" max="13566" width="8.85546875" customWidth="1"/>
    <col min="13567" max="13567" width="12.5703125" customWidth="1"/>
    <col min="13568" max="13569" width="8.42578125" customWidth="1"/>
    <col min="13570" max="13570" width="12.85546875" bestFit="1" customWidth="1"/>
    <col min="13571" max="13571" width="11.42578125" customWidth="1"/>
    <col min="13572" max="13573" width="9.140625" customWidth="1"/>
    <col min="13574" max="13574" width="20.85546875" customWidth="1"/>
    <col min="13575" max="13575" width="11.85546875" customWidth="1"/>
    <col min="13576" max="13819" width="11.42578125" customWidth="1"/>
    <col min="13820" max="13820" width="3.85546875" customWidth="1"/>
    <col min="13821" max="13821" width="37.85546875" customWidth="1"/>
    <col min="13822" max="13822" width="8.85546875" customWidth="1"/>
    <col min="13823" max="13823" width="12.5703125" customWidth="1"/>
    <col min="13824" max="13825" width="8.42578125" customWidth="1"/>
    <col min="13826" max="13826" width="12.85546875" bestFit="1" customWidth="1"/>
    <col min="13827" max="13827" width="11.42578125" customWidth="1"/>
    <col min="13828" max="13829" width="9.140625" customWidth="1"/>
    <col min="13830" max="13830" width="20.85546875" customWidth="1"/>
    <col min="13831" max="13831" width="11.85546875" customWidth="1"/>
    <col min="13832" max="14075" width="11.42578125" customWidth="1"/>
    <col min="14076" max="14076" width="3.85546875" customWidth="1"/>
    <col min="14077" max="14077" width="37.85546875" customWidth="1"/>
    <col min="14078" max="14078" width="8.85546875" customWidth="1"/>
    <col min="14079" max="14079" width="12.5703125" customWidth="1"/>
    <col min="14080" max="14081" width="8.42578125" customWidth="1"/>
    <col min="14082" max="14082" width="12.85546875" bestFit="1" customWidth="1"/>
    <col min="14083" max="14083" width="11.42578125" customWidth="1"/>
    <col min="14084" max="14085" width="9.140625" customWidth="1"/>
    <col min="14086" max="14086" width="20.85546875" customWidth="1"/>
    <col min="14087" max="14087" width="11.85546875" customWidth="1"/>
    <col min="14088" max="14331" width="11.42578125" customWidth="1"/>
    <col min="14332" max="14332" width="3.85546875" customWidth="1"/>
    <col min="14333" max="14333" width="37.85546875" customWidth="1"/>
    <col min="14334" max="14334" width="8.85546875" customWidth="1"/>
    <col min="14335" max="14335" width="12.5703125" customWidth="1"/>
    <col min="14336" max="14337" width="8.42578125" customWidth="1"/>
    <col min="14338" max="14338" width="12.85546875" bestFit="1" customWidth="1"/>
    <col min="14339" max="14339" width="11.42578125" customWidth="1"/>
    <col min="14340" max="14341" width="9.140625" customWidth="1"/>
    <col min="14342" max="14342" width="20.85546875" customWidth="1"/>
    <col min="14343" max="14343" width="11.85546875" customWidth="1"/>
    <col min="14344" max="14587" width="11.42578125" customWidth="1"/>
    <col min="14588" max="14588" width="3.85546875" customWidth="1"/>
    <col min="14589" max="14589" width="37.85546875" customWidth="1"/>
    <col min="14590" max="14590" width="8.85546875" customWidth="1"/>
    <col min="14591" max="14591" width="12.5703125" customWidth="1"/>
    <col min="14592" max="14593" width="8.42578125" customWidth="1"/>
    <col min="14594" max="14594" width="12.85546875" bestFit="1" customWidth="1"/>
    <col min="14595" max="14595" width="11.42578125" customWidth="1"/>
    <col min="14596" max="14597" width="9.140625" customWidth="1"/>
    <col min="14598" max="14598" width="20.85546875" customWidth="1"/>
    <col min="14599" max="14599" width="11.85546875" customWidth="1"/>
    <col min="14600" max="14843" width="11.42578125" customWidth="1"/>
    <col min="14844" max="14844" width="3.85546875" customWidth="1"/>
    <col min="14845" max="14845" width="37.85546875" customWidth="1"/>
    <col min="14846" max="14846" width="8.85546875" customWidth="1"/>
    <col min="14847" max="14847" width="12.5703125" customWidth="1"/>
    <col min="14848" max="14849" width="8.42578125" customWidth="1"/>
    <col min="14850" max="14850" width="12.85546875" bestFit="1" customWidth="1"/>
    <col min="14851" max="14851" width="11.42578125" customWidth="1"/>
    <col min="14852" max="14853" width="9.140625" customWidth="1"/>
    <col min="14854" max="14854" width="20.85546875" customWidth="1"/>
    <col min="14855" max="14855" width="11.85546875" customWidth="1"/>
    <col min="14856" max="15099" width="11.42578125" customWidth="1"/>
    <col min="15100" max="15100" width="3.85546875" customWidth="1"/>
    <col min="15101" max="15101" width="37.85546875" customWidth="1"/>
    <col min="15102" max="15102" width="8.85546875" customWidth="1"/>
    <col min="15103" max="15103" width="12.5703125" customWidth="1"/>
    <col min="15104" max="15105" width="8.42578125" customWidth="1"/>
    <col min="15106" max="15106" width="12.85546875" bestFit="1" customWidth="1"/>
    <col min="15107" max="15107" width="11.42578125" customWidth="1"/>
    <col min="15108" max="15109" width="9.140625" customWidth="1"/>
    <col min="15110" max="15110" width="20.85546875" customWidth="1"/>
    <col min="15111" max="15111" width="11.85546875" customWidth="1"/>
    <col min="15112" max="15355" width="11.42578125" customWidth="1"/>
    <col min="15356" max="15356" width="3.85546875" customWidth="1"/>
    <col min="15357" max="15357" width="37.85546875" customWidth="1"/>
    <col min="15358" max="15358" width="8.85546875" customWidth="1"/>
    <col min="15359" max="15359" width="12.5703125" customWidth="1"/>
    <col min="15360" max="15361" width="8.42578125" customWidth="1"/>
    <col min="15362" max="15362" width="12.85546875" bestFit="1" customWidth="1"/>
    <col min="15363" max="15363" width="11.42578125" customWidth="1"/>
    <col min="15364" max="15365" width="9.140625" customWidth="1"/>
    <col min="15366" max="15366" width="20.85546875" customWidth="1"/>
    <col min="15367" max="15367" width="11.85546875" customWidth="1"/>
    <col min="15368" max="15611" width="11.42578125" customWidth="1"/>
    <col min="15612" max="15612" width="3.85546875" customWidth="1"/>
    <col min="15613" max="15613" width="37.85546875" customWidth="1"/>
    <col min="15614" max="15614" width="8.85546875" customWidth="1"/>
    <col min="15615" max="15615" width="12.5703125" customWidth="1"/>
    <col min="15616" max="15617" width="8.42578125" customWidth="1"/>
    <col min="15618" max="15618" width="12.85546875" bestFit="1" customWidth="1"/>
    <col min="15619" max="15619" width="11.42578125" customWidth="1"/>
    <col min="15620" max="15621" width="9.140625" customWidth="1"/>
    <col min="15622" max="15622" width="20.85546875" customWidth="1"/>
    <col min="15623" max="15623" width="11.85546875" customWidth="1"/>
    <col min="15624" max="15867" width="11.42578125" customWidth="1"/>
    <col min="15868" max="15868" width="3.85546875" customWidth="1"/>
    <col min="15869" max="15869" width="37.85546875" customWidth="1"/>
    <col min="15870" max="15870" width="8.85546875" customWidth="1"/>
    <col min="15871" max="15871" width="12.5703125" customWidth="1"/>
    <col min="15872" max="15873" width="8.42578125" customWidth="1"/>
    <col min="15874" max="15874" width="12.85546875" bestFit="1" customWidth="1"/>
    <col min="15875" max="15875" width="11.42578125" customWidth="1"/>
    <col min="15876" max="15877" width="9.140625" customWidth="1"/>
    <col min="15878" max="15878" width="20.85546875" customWidth="1"/>
    <col min="15879" max="15879" width="11.85546875" customWidth="1"/>
    <col min="15880" max="16123" width="11.42578125" customWidth="1"/>
    <col min="16124" max="16124" width="3.85546875" customWidth="1"/>
    <col min="16125" max="16125" width="37.85546875" customWidth="1"/>
    <col min="16126" max="16126" width="8.85546875" customWidth="1"/>
    <col min="16127" max="16127" width="12.5703125" customWidth="1"/>
    <col min="16128" max="16129" width="8.42578125" customWidth="1"/>
    <col min="16130" max="16130" width="12.85546875" bestFit="1" customWidth="1"/>
    <col min="16131" max="16131" width="11.42578125" customWidth="1"/>
    <col min="16132" max="16133" width="9.140625" customWidth="1"/>
    <col min="16134" max="16134" width="20.85546875" customWidth="1"/>
    <col min="16135" max="16135" width="11.85546875" customWidth="1"/>
    <col min="16136" max="16384" width="11.42578125" customWidth="1"/>
  </cols>
  <sheetData>
    <row r="1" spans="1:8" ht="17.25" customHeight="1" thickTop="1">
      <c r="A1" s="190"/>
      <c r="B1" s="191"/>
      <c r="C1" s="196" t="s">
        <v>0</v>
      </c>
      <c r="D1" s="197"/>
      <c r="E1" s="197"/>
      <c r="F1" s="197"/>
      <c r="G1" s="197"/>
      <c r="H1" s="197"/>
    </row>
    <row r="2" spans="1:8" ht="28.5" customHeight="1">
      <c r="A2" s="192"/>
      <c r="B2" s="193"/>
      <c r="C2" s="198"/>
      <c r="D2" s="199"/>
      <c r="E2" s="199"/>
      <c r="F2" s="199"/>
      <c r="G2" s="199"/>
      <c r="H2" s="199"/>
    </row>
    <row r="3" spans="1:8" ht="31.5" customHeight="1">
      <c r="A3" s="194"/>
      <c r="B3" s="195"/>
      <c r="C3" s="200"/>
      <c r="D3" s="201"/>
      <c r="E3" s="201"/>
      <c r="F3" s="201"/>
      <c r="G3" s="201"/>
      <c r="H3" s="201"/>
    </row>
    <row r="4" spans="1:8" s="3" customFormat="1" ht="12.75" customHeight="1">
      <c r="A4" s="99"/>
      <c r="B4" s="86"/>
      <c r="C4" s="202" t="s">
        <v>1</v>
      </c>
      <c r="D4" s="202"/>
      <c r="E4" s="202"/>
      <c r="F4" s="202"/>
      <c r="G4" s="203"/>
      <c r="H4" s="140">
        <v>600.72</v>
      </c>
    </row>
    <row r="5" spans="1:8" s="47" customFormat="1" ht="12.75" customHeight="1">
      <c r="A5" s="204"/>
      <c r="B5" s="205" t="s">
        <v>2</v>
      </c>
      <c r="C5" s="206" t="s">
        <v>3</v>
      </c>
      <c r="D5" s="206" t="s">
        <v>4</v>
      </c>
      <c r="E5" s="208" t="s">
        <v>5</v>
      </c>
      <c r="F5" s="209"/>
      <c r="G5" s="210" t="s">
        <v>6</v>
      </c>
      <c r="H5" s="138" t="s">
        <v>7</v>
      </c>
    </row>
    <row r="6" spans="1:8" s="47" customFormat="1" ht="12.75" customHeight="1">
      <c r="A6" s="204"/>
      <c r="B6" s="205"/>
      <c r="C6" s="207"/>
      <c r="D6" s="207"/>
      <c r="E6" s="100" t="s">
        <v>8</v>
      </c>
      <c r="F6" s="134" t="s">
        <v>9</v>
      </c>
      <c r="G6" s="211"/>
      <c r="H6" s="139"/>
    </row>
    <row r="7" spans="1:8" s="47" customFormat="1" ht="30" customHeight="1">
      <c r="A7" s="101">
        <v>1</v>
      </c>
      <c r="B7" s="102" t="s">
        <v>10</v>
      </c>
      <c r="C7" s="103"/>
      <c r="D7" s="104"/>
      <c r="E7" s="103"/>
      <c r="F7" s="103"/>
      <c r="G7" s="105">
        <f>SUM(G8:G13)</f>
        <v>1669600</v>
      </c>
      <c r="H7" s="145">
        <f>G7/H4</f>
        <v>2779.3314689039817</v>
      </c>
    </row>
    <row r="8" spans="1:8" s="109" customFormat="1" ht="12.95">
      <c r="A8" s="106"/>
      <c r="B8" s="107" t="s">
        <v>85</v>
      </c>
      <c r="C8" s="108">
        <v>8</v>
      </c>
      <c r="D8" s="108">
        <v>3000</v>
      </c>
      <c r="E8" s="108" t="s">
        <v>12</v>
      </c>
      <c r="F8" s="108">
        <v>4</v>
      </c>
      <c r="G8" s="108">
        <f>+C8*D8*F8</f>
        <v>96000</v>
      </c>
      <c r="H8" s="146">
        <f>G8/$H$4</f>
        <v>159.80823012385136</v>
      </c>
    </row>
    <row r="9" spans="1:8" s="109" customFormat="1" ht="12.95">
      <c r="A9" s="106"/>
      <c r="B9" s="107" t="s">
        <v>86</v>
      </c>
      <c r="C9" s="108">
        <v>8</v>
      </c>
      <c r="D9" s="108">
        <v>2500</v>
      </c>
      <c r="E9" s="108" t="s">
        <v>12</v>
      </c>
      <c r="F9" s="108">
        <v>4</v>
      </c>
      <c r="G9" s="108">
        <f>+C9*D9*F9</f>
        <v>80000</v>
      </c>
      <c r="H9" s="146">
        <f t="shared" ref="H9:H22" si="0">G9/$H$4</f>
        <v>133.17352510320947</v>
      </c>
    </row>
    <row r="10" spans="1:8" s="109" customFormat="1" ht="12.95">
      <c r="A10" s="106"/>
      <c r="B10" s="107" t="s">
        <v>15</v>
      </c>
      <c r="C10" s="108">
        <v>8</v>
      </c>
      <c r="D10" s="108">
        <v>11500</v>
      </c>
      <c r="E10" s="108" t="s">
        <v>12</v>
      </c>
      <c r="F10" s="108">
        <v>4</v>
      </c>
      <c r="G10" s="108">
        <f>+C10*D10*F10</f>
        <v>368000</v>
      </c>
      <c r="H10" s="146">
        <f t="shared" si="0"/>
        <v>612.59821547476361</v>
      </c>
    </row>
    <row r="11" spans="1:8" s="109" customFormat="1" ht="12.95">
      <c r="A11" s="106"/>
      <c r="B11" s="162" t="s">
        <v>17</v>
      </c>
      <c r="C11" s="108">
        <v>1</v>
      </c>
      <c r="D11" s="108">
        <v>100000</v>
      </c>
      <c r="E11" s="108" t="s">
        <v>12</v>
      </c>
      <c r="F11" s="108">
        <v>8</v>
      </c>
      <c r="G11" s="108">
        <f>+C11*D11*F11</f>
        <v>800000</v>
      </c>
      <c r="H11" s="146">
        <f t="shared" si="0"/>
        <v>1331.7352510320948</v>
      </c>
    </row>
    <row r="12" spans="1:8" s="109" customFormat="1" ht="12.95">
      <c r="A12" s="106"/>
      <c r="B12" s="107" t="s">
        <v>16</v>
      </c>
      <c r="C12" s="108">
        <v>8</v>
      </c>
      <c r="D12" s="108">
        <v>800</v>
      </c>
      <c r="E12" s="108" t="s">
        <v>12</v>
      </c>
      <c r="F12" s="108">
        <v>4</v>
      </c>
      <c r="G12" s="108">
        <f>+C12*D12*F12</f>
        <v>25600</v>
      </c>
      <c r="H12" s="146">
        <f t="shared" si="0"/>
        <v>42.615528033027033</v>
      </c>
    </row>
    <row r="13" spans="1:8" s="109" customFormat="1" ht="12.95">
      <c r="A13" s="106"/>
      <c r="B13" s="107" t="s">
        <v>87</v>
      </c>
      <c r="C13" s="108">
        <v>1</v>
      </c>
      <c r="D13" s="110"/>
      <c r="E13" s="110"/>
      <c r="F13" s="110"/>
      <c r="G13" s="108">
        <v>300000</v>
      </c>
      <c r="H13" s="146">
        <f t="shared" si="0"/>
        <v>499.40071913703554</v>
      </c>
    </row>
    <row r="14" spans="1:8" s="47" customFormat="1" ht="12.95">
      <c r="A14" s="101">
        <v>2</v>
      </c>
      <c r="B14" s="102" t="s">
        <v>24</v>
      </c>
      <c r="C14" s="166"/>
      <c r="D14" s="167"/>
      <c r="E14" s="166"/>
      <c r="F14" s="166"/>
      <c r="G14" s="111">
        <f>SUM(G15:G22)</f>
        <v>3356100</v>
      </c>
      <c r="H14" s="145">
        <f>G14/H4</f>
        <v>5586.7958449860162</v>
      </c>
    </row>
    <row r="15" spans="1:8" s="47" customFormat="1" ht="12.95">
      <c r="A15" s="112"/>
      <c r="B15" s="169" t="s">
        <v>25</v>
      </c>
      <c r="C15" s="108">
        <v>15</v>
      </c>
      <c r="D15" s="108">
        <v>100</v>
      </c>
      <c r="E15" s="110"/>
      <c r="F15" s="110"/>
      <c r="G15" s="113">
        <f>+C15*D15</f>
        <v>1500</v>
      </c>
      <c r="H15" s="146">
        <f>G15/$H$4</f>
        <v>2.4970035956851775</v>
      </c>
    </row>
    <row r="16" spans="1:8" s="47" customFormat="1" ht="13.5">
      <c r="A16" s="115"/>
      <c r="B16" s="169" t="s">
        <v>26</v>
      </c>
      <c r="C16" s="108">
        <v>15</v>
      </c>
      <c r="D16" s="108">
        <v>1500</v>
      </c>
      <c r="E16" s="110"/>
      <c r="F16" s="110"/>
      <c r="G16" s="113">
        <f>+C16*D16</f>
        <v>22500</v>
      </c>
      <c r="H16" s="146">
        <f t="shared" si="0"/>
        <v>37.455053935277668</v>
      </c>
    </row>
    <row r="17" spans="1:9" s="47" customFormat="1" ht="12.95">
      <c r="A17" s="112"/>
      <c r="B17" s="169" t="s">
        <v>27</v>
      </c>
      <c r="C17" s="108">
        <v>15</v>
      </c>
      <c r="D17" s="108">
        <v>500</v>
      </c>
      <c r="E17" s="110"/>
      <c r="F17" s="110"/>
      <c r="G17" s="113">
        <f t="shared" ref="G17:G21" si="1">+C17*D17</f>
        <v>7500</v>
      </c>
      <c r="H17" s="146">
        <f t="shared" si="0"/>
        <v>12.485017978425889</v>
      </c>
    </row>
    <row r="18" spans="1:9" s="47" customFormat="1" ht="12.95">
      <c r="A18" s="112"/>
      <c r="B18" s="169" t="s">
        <v>28</v>
      </c>
      <c r="C18" s="108">
        <v>15</v>
      </c>
      <c r="D18" s="108">
        <v>200</v>
      </c>
      <c r="E18" s="110"/>
      <c r="F18" s="110"/>
      <c r="G18" s="113">
        <f t="shared" si="1"/>
        <v>3000</v>
      </c>
      <c r="H18" s="146">
        <f t="shared" si="0"/>
        <v>4.994007191370355</v>
      </c>
    </row>
    <row r="19" spans="1:9" s="47" customFormat="1" ht="12.95">
      <c r="A19" s="112"/>
      <c r="B19" s="169" t="s">
        <v>88</v>
      </c>
      <c r="C19" s="108">
        <v>300</v>
      </c>
      <c r="D19" s="108">
        <v>10000</v>
      </c>
      <c r="E19" s="110"/>
      <c r="F19" s="110"/>
      <c r="G19" s="113">
        <f>+C19*D19</f>
        <v>3000000</v>
      </c>
      <c r="H19" s="146">
        <f t="shared" si="0"/>
        <v>4994.007191370355</v>
      </c>
    </row>
    <row r="20" spans="1:9" s="47" customFormat="1" ht="12.95">
      <c r="A20" s="112"/>
      <c r="B20" s="169" t="s">
        <v>89</v>
      </c>
      <c r="C20" s="108">
        <v>300</v>
      </c>
      <c r="D20" s="108">
        <v>1000</v>
      </c>
      <c r="E20" s="110"/>
      <c r="F20" s="110"/>
      <c r="G20" s="113">
        <f>+C20*D20</f>
        <v>300000</v>
      </c>
      <c r="H20" s="146">
        <f t="shared" si="0"/>
        <v>499.40071913703554</v>
      </c>
    </row>
    <row r="21" spans="1:9" s="47" customFormat="1" ht="12.95">
      <c r="A21" s="112"/>
      <c r="B21" s="169" t="s">
        <v>29</v>
      </c>
      <c r="C21" s="113">
        <v>4</v>
      </c>
      <c r="D21" s="113">
        <v>400</v>
      </c>
      <c r="E21" s="114"/>
      <c r="F21" s="114"/>
      <c r="G21" s="113">
        <f t="shared" si="1"/>
        <v>1600</v>
      </c>
      <c r="H21" s="146">
        <f t="shared" si="0"/>
        <v>2.6634705020641896</v>
      </c>
    </row>
    <row r="22" spans="1:9" s="47" customFormat="1" ht="12.95">
      <c r="A22" s="112"/>
      <c r="B22" s="169" t="s">
        <v>30</v>
      </c>
      <c r="C22" s="113">
        <v>1</v>
      </c>
      <c r="D22" s="113"/>
      <c r="E22" s="114"/>
      <c r="F22" s="114"/>
      <c r="G22" s="113">
        <v>20000</v>
      </c>
      <c r="H22" s="146">
        <f t="shared" si="0"/>
        <v>33.293381275802368</v>
      </c>
    </row>
    <row r="23" spans="1:9" s="47" customFormat="1" ht="12.95">
      <c r="A23" s="101">
        <v>3</v>
      </c>
      <c r="B23" s="102" t="s">
        <v>31</v>
      </c>
      <c r="C23" s="103"/>
      <c r="D23" s="104"/>
      <c r="E23" s="103"/>
      <c r="F23" s="103"/>
      <c r="G23" s="111">
        <f>SUM(G25:G29)</f>
        <v>2370000</v>
      </c>
      <c r="H23" s="142">
        <f>G23/H4</f>
        <v>3945.2656811825809</v>
      </c>
    </row>
    <row r="24" spans="1:9" s="109" customFormat="1" ht="12.95">
      <c r="A24" s="106"/>
      <c r="B24" s="116" t="s">
        <v>32</v>
      </c>
      <c r="C24" s="108"/>
      <c r="D24" s="108"/>
      <c r="E24" s="108"/>
      <c r="F24" s="108"/>
      <c r="G24" s="108"/>
      <c r="H24" s="141"/>
    </row>
    <row r="25" spans="1:9" s="109" customFormat="1" ht="12.95">
      <c r="A25" s="106"/>
      <c r="B25" s="117" t="s">
        <v>90</v>
      </c>
      <c r="C25" s="108">
        <v>8</v>
      </c>
      <c r="D25" s="108">
        <v>5000</v>
      </c>
      <c r="E25" s="108" t="s">
        <v>34</v>
      </c>
      <c r="F25" s="108">
        <v>10</v>
      </c>
      <c r="G25" s="108">
        <f t="shared" ref="G25" si="2">+C25*D25*F25</f>
        <v>400000</v>
      </c>
      <c r="H25" s="146">
        <f>G25/$H$4</f>
        <v>665.86762551604738</v>
      </c>
    </row>
    <row r="26" spans="1:9" s="109" customFormat="1" ht="12.95">
      <c r="A26" s="106"/>
      <c r="B26" s="117" t="s">
        <v>91</v>
      </c>
      <c r="C26" s="108">
        <v>8</v>
      </c>
      <c r="D26" s="108">
        <v>18000</v>
      </c>
      <c r="E26" s="108" t="s">
        <v>12</v>
      </c>
      <c r="F26" s="108">
        <v>10</v>
      </c>
      <c r="G26" s="108">
        <f>+C26*D26*F26</f>
        <v>1440000</v>
      </c>
      <c r="H26" s="146">
        <f t="shared" ref="H26:H29" si="3">G26/$H$4</f>
        <v>2397.1234518577708</v>
      </c>
    </row>
    <row r="27" spans="1:9" s="109" customFormat="1" ht="12.95">
      <c r="A27" s="106"/>
      <c r="B27" s="117" t="s">
        <v>92</v>
      </c>
      <c r="C27" s="141">
        <v>1</v>
      </c>
      <c r="D27" s="108">
        <v>22000</v>
      </c>
      <c r="E27" s="108" t="s">
        <v>12</v>
      </c>
      <c r="F27" s="108">
        <v>10</v>
      </c>
      <c r="G27" s="108">
        <f>+C27*D27*F27</f>
        <v>220000</v>
      </c>
      <c r="H27" s="146">
        <f t="shared" si="3"/>
        <v>366.22719403382604</v>
      </c>
    </row>
    <row r="28" spans="1:9" s="109" customFormat="1" ht="12.95">
      <c r="A28" s="106"/>
      <c r="B28" s="117" t="s">
        <v>93</v>
      </c>
      <c r="C28" s="141">
        <v>1</v>
      </c>
      <c r="D28" s="108">
        <v>1000</v>
      </c>
      <c r="E28" s="108" t="s">
        <v>12</v>
      </c>
      <c r="F28" s="108">
        <v>10</v>
      </c>
      <c r="G28" s="108">
        <f>+C28*D28*F28</f>
        <v>10000</v>
      </c>
      <c r="H28" s="146">
        <f t="shared" si="3"/>
        <v>16.646690637901184</v>
      </c>
    </row>
    <row r="29" spans="1:9" s="109" customFormat="1" ht="12.95">
      <c r="A29" s="106"/>
      <c r="B29" s="117" t="s">
        <v>94</v>
      </c>
      <c r="C29" s="141">
        <v>600</v>
      </c>
      <c r="D29" s="108">
        <v>500</v>
      </c>
      <c r="E29" s="108" t="s">
        <v>12</v>
      </c>
      <c r="F29" s="108">
        <v>1</v>
      </c>
      <c r="G29" s="108">
        <f>+C29*D29*F29</f>
        <v>300000</v>
      </c>
      <c r="H29" s="146">
        <f t="shared" si="3"/>
        <v>499.40071913703554</v>
      </c>
    </row>
    <row r="30" spans="1:9" s="47" customFormat="1" ht="26.1" hidden="1">
      <c r="A30" s="101">
        <v>4</v>
      </c>
      <c r="B30" s="121" t="s">
        <v>59</v>
      </c>
      <c r="C30" s="103"/>
      <c r="D30" s="103"/>
      <c r="E30" s="103"/>
      <c r="F30" s="103"/>
      <c r="G30" s="111"/>
      <c r="H30" s="144">
        <f>G30/H4</f>
        <v>0</v>
      </c>
    </row>
    <row r="31" spans="1:9" s="109" customFormat="1" ht="26.1" hidden="1">
      <c r="A31" s="122"/>
      <c r="B31" s="123" t="s">
        <v>61</v>
      </c>
      <c r="C31" s="113">
        <v>1</v>
      </c>
      <c r="D31" s="113"/>
      <c r="E31" s="114"/>
      <c r="F31" s="114"/>
      <c r="G31" s="113"/>
      <c r="H31" s="146">
        <f>G31/$H$4</f>
        <v>0</v>
      </c>
    </row>
    <row r="32" spans="1:9" s="109" customFormat="1" ht="23.25" hidden="1" customHeight="1">
      <c r="A32" s="122"/>
      <c r="B32" s="123" t="s">
        <v>62</v>
      </c>
      <c r="C32" s="133">
        <v>7</v>
      </c>
      <c r="D32" s="113">
        <v>15000000</v>
      </c>
      <c r="E32" s="114"/>
      <c r="F32" s="114"/>
      <c r="G32" s="113"/>
      <c r="H32" s="143">
        <v>0</v>
      </c>
      <c r="I32" s="124"/>
    </row>
    <row r="33" spans="1:10" s="125" customFormat="1" ht="12.95" hidden="1" customHeight="1">
      <c r="A33" s="101">
        <v>5</v>
      </c>
      <c r="B33" s="102" t="s">
        <v>63</v>
      </c>
      <c r="C33" s="103"/>
      <c r="D33" s="103"/>
      <c r="E33" s="103"/>
      <c r="F33" s="103"/>
      <c r="G33" s="111">
        <f>SUM(G34:G38)</f>
        <v>0</v>
      </c>
      <c r="H33" s="144">
        <v>0</v>
      </c>
    </row>
    <row r="34" spans="1:10" s="109" customFormat="1" ht="12.95" hidden="1" customHeight="1">
      <c r="A34" s="122"/>
      <c r="B34" s="126"/>
      <c r="C34" s="113"/>
      <c r="D34" s="113"/>
      <c r="E34" s="113"/>
      <c r="F34" s="113"/>
      <c r="G34" s="113"/>
      <c r="H34" s="143"/>
    </row>
    <row r="35" spans="1:10" s="109" customFormat="1" ht="51.95" hidden="1" customHeight="1">
      <c r="A35" s="122"/>
      <c r="B35" s="123" t="s">
        <v>64</v>
      </c>
      <c r="C35" s="127" t="s">
        <v>65</v>
      </c>
      <c r="D35" s="113">
        <v>250000</v>
      </c>
      <c r="E35" s="113" t="s">
        <v>12</v>
      </c>
      <c r="F35" s="113">
        <v>25</v>
      </c>
      <c r="G35" s="113"/>
      <c r="H35" s="143">
        <v>0</v>
      </c>
    </row>
    <row r="36" spans="1:10" s="125" customFormat="1" ht="12.95" hidden="1" customHeight="1">
      <c r="A36" s="122"/>
      <c r="B36" s="123" t="s">
        <v>66</v>
      </c>
      <c r="C36" s="113">
        <f>'[1]Budget 12000 HH'!D92</f>
        <v>150</v>
      </c>
      <c r="D36" s="113">
        <v>20000</v>
      </c>
      <c r="E36" s="113" t="s">
        <v>67</v>
      </c>
      <c r="F36" s="114"/>
      <c r="G36" s="113"/>
      <c r="H36" s="143">
        <v>0</v>
      </c>
    </row>
    <row r="37" spans="1:10" s="125" customFormat="1" ht="12.95" hidden="1" customHeight="1">
      <c r="A37" s="122"/>
      <c r="B37" s="123" t="s">
        <v>68</v>
      </c>
      <c r="C37" s="113">
        <v>250</v>
      </c>
      <c r="D37" s="113">
        <v>5000</v>
      </c>
      <c r="E37" s="113" t="s">
        <v>67</v>
      </c>
      <c r="F37" s="114"/>
      <c r="G37" s="113"/>
      <c r="H37" s="143">
        <v>0</v>
      </c>
    </row>
    <row r="38" spans="1:10" s="47" customFormat="1" ht="12.95" hidden="1" customHeight="1">
      <c r="A38" s="122"/>
      <c r="B38" s="123" t="s">
        <v>69</v>
      </c>
      <c r="C38" s="113">
        <v>40</v>
      </c>
      <c r="D38" s="113">
        <v>10000</v>
      </c>
      <c r="E38" s="113" t="s">
        <v>67</v>
      </c>
      <c r="F38" s="114"/>
      <c r="G38" s="113"/>
      <c r="H38" s="143">
        <v>0</v>
      </c>
    </row>
    <row r="39" spans="1:10" s="47" customFormat="1" ht="12.95" hidden="1" customHeight="1">
      <c r="A39" s="101">
        <v>6</v>
      </c>
      <c r="B39" s="102" t="s">
        <v>70</v>
      </c>
      <c r="C39" s="103"/>
      <c r="D39" s="104"/>
      <c r="E39" s="103"/>
      <c r="F39" s="103"/>
      <c r="G39" s="111">
        <f>SUM(G40:G43)</f>
        <v>0</v>
      </c>
      <c r="H39" s="142">
        <v>0</v>
      </c>
    </row>
    <row r="40" spans="1:10" s="47" customFormat="1" ht="12.95" hidden="1" customHeight="1">
      <c r="A40" s="122"/>
      <c r="B40" s="123" t="s">
        <v>71</v>
      </c>
      <c r="C40" s="113">
        <v>50</v>
      </c>
      <c r="D40" s="113">
        <v>6000</v>
      </c>
      <c r="E40" s="113" t="s">
        <v>12</v>
      </c>
      <c r="F40" s="113">
        <v>1</v>
      </c>
      <c r="G40" s="113"/>
      <c r="H40" s="143">
        <v>0</v>
      </c>
    </row>
    <row r="41" spans="1:10" s="47" customFormat="1" ht="12.95" hidden="1" customHeight="1">
      <c r="A41" s="122"/>
      <c r="B41" s="123" t="s">
        <v>72</v>
      </c>
      <c r="C41" s="113">
        <v>50</v>
      </c>
      <c r="D41" s="113">
        <v>17000</v>
      </c>
      <c r="E41" s="113" t="s">
        <v>12</v>
      </c>
      <c r="F41" s="113">
        <v>1</v>
      </c>
      <c r="G41" s="113"/>
      <c r="H41" s="143">
        <v>0</v>
      </c>
    </row>
    <row r="42" spans="1:10" s="47" customFormat="1" ht="12.95" hidden="1" customHeight="1">
      <c r="A42" s="122"/>
      <c r="B42" s="123" t="s">
        <v>73</v>
      </c>
      <c r="C42" s="113">
        <v>1</v>
      </c>
      <c r="D42" s="113">
        <v>350000</v>
      </c>
      <c r="E42" s="113" t="s">
        <v>12</v>
      </c>
      <c r="F42" s="113">
        <v>1</v>
      </c>
      <c r="G42" s="113"/>
      <c r="H42" s="143">
        <v>0</v>
      </c>
    </row>
    <row r="43" spans="1:10" s="47" customFormat="1" ht="12.95" hidden="1" customHeight="1">
      <c r="A43" s="122"/>
      <c r="B43" s="123" t="s">
        <v>74</v>
      </c>
      <c r="C43" s="113">
        <v>5</v>
      </c>
      <c r="D43" s="113">
        <v>20000</v>
      </c>
      <c r="E43" s="113" t="s">
        <v>12</v>
      </c>
      <c r="F43" s="113">
        <v>1</v>
      </c>
      <c r="G43" s="113"/>
      <c r="H43" s="143">
        <v>0</v>
      </c>
    </row>
    <row r="44" spans="1:10" s="47" customFormat="1" ht="12.95">
      <c r="A44" s="101" t="s">
        <v>75</v>
      </c>
      <c r="B44" s="102" t="s">
        <v>76</v>
      </c>
      <c r="C44" s="103"/>
      <c r="D44" s="104"/>
      <c r="E44" s="103"/>
      <c r="F44" s="103"/>
      <c r="G44" s="111">
        <f>G7+G14+G23+G30</f>
        <v>7395700</v>
      </c>
      <c r="H44" s="142">
        <f>G44/H4</f>
        <v>12311.39299507258</v>
      </c>
    </row>
    <row r="45" spans="1:10" s="47" customFormat="1" ht="12.95">
      <c r="A45" s="101" t="s">
        <v>77</v>
      </c>
      <c r="B45" s="102" t="s">
        <v>78</v>
      </c>
      <c r="C45" s="103"/>
      <c r="D45" s="104"/>
      <c r="E45" s="103"/>
      <c r="F45" s="103"/>
      <c r="G45" s="111">
        <f>G44*0.05</f>
        <v>369785</v>
      </c>
      <c r="H45" s="142">
        <f>G45/H4</f>
        <v>615.56964975362894</v>
      </c>
      <c r="J45" s="135"/>
    </row>
    <row r="46" spans="1:10" s="125" customFormat="1" ht="12.95">
      <c r="A46" s="128"/>
      <c r="B46" s="129" t="s">
        <v>79</v>
      </c>
      <c r="C46" s="130"/>
      <c r="D46" s="131"/>
      <c r="E46" s="130"/>
      <c r="F46" s="130"/>
      <c r="G46" s="132">
        <f>G44+G45</f>
        <v>7765485</v>
      </c>
      <c r="H46" s="132">
        <f>H44+H45</f>
        <v>12926.962644826208</v>
      </c>
    </row>
    <row r="47" spans="1:10">
      <c r="A47" s="87"/>
      <c r="B47" s="88"/>
      <c r="C47" s="89"/>
      <c r="D47" s="89"/>
      <c r="E47" s="89"/>
      <c r="F47" s="89"/>
      <c r="G47" s="89"/>
      <c r="H47" s="89"/>
    </row>
    <row r="48" spans="1:10">
      <c r="A48" s="90"/>
      <c r="B48" s="91"/>
      <c r="C48" s="92"/>
      <c r="D48" s="92"/>
      <c r="E48" s="92"/>
      <c r="F48" s="92"/>
      <c r="G48" s="92"/>
      <c r="H48" s="92"/>
    </row>
    <row r="49" spans="1:8" ht="48.75" customHeight="1">
      <c r="A49" s="183" t="s">
        <v>80</v>
      </c>
      <c r="B49" s="184"/>
      <c r="C49" s="187" t="s">
        <v>81</v>
      </c>
      <c r="D49" s="187"/>
      <c r="E49" s="187"/>
      <c r="F49" s="188" t="s">
        <v>82</v>
      </c>
      <c r="G49" s="184"/>
      <c r="H49" s="184"/>
    </row>
    <row r="50" spans="1:8" ht="33.75" customHeight="1">
      <c r="A50" s="185"/>
      <c r="B50" s="186"/>
      <c r="C50" s="187"/>
      <c r="D50" s="187"/>
      <c r="E50" s="187"/>
      <c r="F50" s="189"/>
      <c r="G50" s="186"/>
      <c r="H50" s="186"/>
    </row>
    <row r="51" spans="1:8">
      <c r="A51" s="94"/>
      <c r="B51" s="95"/>
      <c r="C51" s="96"/>
      <c r="D51" s="96"/>
      <c r="E51" s="96"/>
      <c r="F51" s="96"/>
      <c r="G51" s="96"/>
      <c r="H51" s="96"/>
    </row>
    <row r="52" spans="1:8" ht="54" customHeight="1">
      <c r="A52" s="173" t="s">
        <v>83</v>
      </c>
      <c r="B52" s="174"/>
      <c r="C52" s="175"/>
      <c r="D52" s="93"/>
      <c r="E52" s="93"/>
      <c r="F52" s="179" t="s">
        <v>84</v>
      </c>
      <c r="G52" s="174"/>
      <c r="H52" s="174"/>
    </row>
    <row r="53" spans="1:8" ht="36" customHeight="1" thickBot="1">
      <c r="A53" s="176"/>
      <c r="B53" s="177"/>
      <c r="C53" s="178"/>
      <c r="D53" s="97"/>
      <c r="E53" s="98"/>
      <c r="F53" s="180"/>
      <c r="G53" s="177"/>
      <c r="H53" s="177"/>
    </row>
    <row r="54" spans="1:8" ht="15" thickTop="1">
      <c r="A54" s="3"/>
      <c r="B54" s="82"/>
      <c r="E54" s="83"/>
      <c r="F54" s="83"/>
      <c r="G54" s="83"/>
      <c r="H54" s="83"/>
    </row>
    <row r="55" spans="1:8">
      <c r="A55" s="3"/>
      <c r="B55" s="82"/>
      <c r="E55" s="83"/>
      <c r="F55" s="83"/>
      <c r="G55" s="83"/>
      <c r="H55" s="83"/>
    </row>
    <row r="56" spans="1:8">
      <c r="A56" s="3"/>
      <c r="B56" s="82"/>
      <c r="E56" s="83"/>
      <c r="F56" s="83"/>
      <c r="G56" s="83"/>
      <c r="H56" s="83"/>
    </row>
    <row r="57" spans="1:8" ht="15.75" customHeight="1">
      <c r="A57" s="3"/>
      <c r="B57" s="82"/>
      <c r="C57" s="83"/>
      <c r="D57" s="83"/>
      <c r="E57" s="83"/>
      <c r="F57" s="83"/>
      <c r="G57" s="83"/>
      <c r="H57" s="83"/>
    </row>
    <row r="64" spans="1:8">
      <c r="A64" s="46"/>
      <c r="B64" s="84"/>
      <c r="C64" s="85"/>
      <c r="D64" s="85"/>
      <c r="E64" s="85"/>
      <c r="F64" s="85"/>
      <c r="G64" s="85"/>
      <c r="H64" s="85"/>
    </row>
  </sheetData>
  <mergeCells count="14">
    <mergeCell ref="A1:B3"/>
    <mergeCell ref="C1:H3"/>
    <mergeCell ref="C4:G4"/>
    <mergeCell ref="A5:A6"/>
    <mergeCell ref="B5:B6"/>
    <mergeCell ref="C5:C6"/>
    <mergeCell ref="D5:D6"/>
    <mergeCell ref="E5:F5"/>
    <mergeCell ref="G5:G6"/>
    <mergeCell ref="A52:C53"/>
    <mergeCell ref="F52:H53"/>
    <mergeCell ref="A49:B50"/>
    <mergeCell ref="C49:E50"/>
    <mergeCell ref="F49:H50"/>
  </mergeCells>
  <pageMargins left="0.7" right="0.7" top="0.75" bottom="0.75" header="0.3" footer="0.3"/>
  <pageSetup scale="61" orientation="portrait" horizontalDpi="4294967295" verticalDpi="4294967295" r:id="rId1"/>
  <colBreaks count="1" manualBreakCount="1">
    <brk id="8" max="1048575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80"/>
  <sheetViews>
    <sheetView topLeftCell="A37" zoomScale="120" zoomScaleNormal="120" workbookViewId="0">
      <selection activeCell="D51" sqref="D51"/>
    </sheetView>
  </sheetViews>
  <sheetFormatPr defaultColWidth="9.140625" defaultRowHeight="14.45"/>
  <cols>
    <col min="1" max="1" width="3.85546875" customWidth="1"/>
    <col min="2" max="2" width="25" customWidth="1"/>
    <col min="3" max="3" width="9.140625" customWidth="1"/>
    <col min="4" max="4" width="10.140625" customWidth="1"/>
    <col min="5" max="5" width="8.42578125" customWidth="1"/>
    <col min="6" max="6" width="7.5703125" customWidth="1"/>
    <col min="7" max="7" width="11" customWidth="1"/>
    <col min="8" max="8" width="9.140625" customWidth="1"/>
    <col min="9" max="9" width="10.85546875" customWidth="1"/>
    <col min="10" max="10" width="9.140625" customWidth="1"/>
    <col min="11" max="11" width="12.140625" customWidth="1"/>
    <col min="12" max="254" width="11.42578125" customWidth="1"/>
    <col min="255" max="255" width="3.85546875" customWidth="1"/>
    <col min="256" max="256" width="37.85546875" customWidth="1"/>
    <col min="257" max="257" width="8.85546875" customWidth="1"/>
    <col min="258" max="258" width="12.5703125" customWidth="1"/>
    <col min="259" max="260" width="8.42578125" customWidth="1"/>
    <col min="261" max="261" width="12.85546875" bestFit="1" customWidth="1"/>
    <col min="262" max="262" width="11.42578125" customWidth="1"/>
    <col min="263" max="264" width="9.140625" customWidth="1"/>
    <col min="265" max="265" width="20.85546875" customWidth="1"/>
    <col min="266" max="266" width="11.85546875" customWidth="1"/>
    <col min="267" max="510" width="11.42578125" customWidth="1"/>
    <col min="511" max="511" width="3.85546875" customWidth="1"/>
    <col min="512" max="512" width="37.85546875" customWidth="1"/>
    <col min="513" max="513" width="8.85546875" customWidth="1"/>
    <col min="514" max="514" width="12.5703125" customWidth="1"/>
    <col min="515" max="516" width="8.42578125" customWidth="1"/>
    <col min="517" max="517" width="12.85546875" bestFit="1" customWidth="1"/>
    <col min="518" max="518" width="11.42578125" customWidth="1"/>
    <col min="519" max="520" width="9.140625" customWidth="1"/>
    <col min="521" max="521" width="20.85546875" customWidth="1"/>
    <col min="522" max="522" width="11.85546875" customWidth="1"/>
    <col min="523" max="766" width="11.42578125" customWidth="1"/>
    <col min="767" max="767" width="3.85546875" customWidth="1"/>
    <col min="768" max="768" width="37.85546875" customWidth="1"/>
    <col min="769" max="769" width="8.85546875" customWidth="1"/>
    <col min="770" max="770" width="12.5703125" customWidth="1"/>
    <col min="771" max="772" width="8.42578125" customWidth="1"/>
    <col min="773" max="773" width="12.85546875" bestFit="1" customWidth="1"/>
    <col min="774" max="774" width="11.42578125" customWidth="1"/>
    <col min="775" max="776" width="9.140625" customWidth="1"/>
    <col min="777" max="777" width="20.85546875" customWidth="1"/>
    <col min="778" max="778" width="11.85546875" customWidth="1"/>
    <col min="779" max="1022" width="11.42578125" customWidth="1"/>
    <col min="1023" max="1023" width="3.85546875" customWidth="1"/>
    <col min="1024" max="1024" width="37.85546875" customWidth="1"/>
    <col min="1025" max="1025" width="8.85546875" customWidth="1"/>
    <col min="1026" max="1026" width="12.5703125" customWidth="1"/>
    <col min="1027" max="1028" width="8.42578125" customWidth="1"/>
    <col min="1029" max="1029" width="12.85546875" bestFit="1" customWidth="1"/>
    <col min="1030" max="1030" width="11.42578125" customWidth="1"/>
    <col min="1031" max="1032" width="9.140625" customWidth="1"/>
    <col min="1033" max="1033" width="20.85546875" customWidth="1"/>
    <col min="1034" max="1034" width="11.85546875" customWidth="1"/>
    <col min="1035" max="1278" width="11.42578125" customWidth="1"/>
    <col min="1279" max="1279" width="3.85546875" customWidth="1"/>
    <col min="1280" max="1280" width="37.85546875" customWidth="1"/>
    <col min="1281" max="1281" width="8.85546875" customWidth="1"/>
    <col min="1282" max="1282" width="12.5703125" customWidth="1"/>
    <col min="1283" max="1284" width="8.42578125" customWidth="1"/>
    <col min="1285" max="1285" width="12.85546875" bestFit="1" customWidth="1"/>
    <col min="1286" max="1286" width="11.42578125" customWidth="1"/>
    <col min="1287" max="1288" width="9.140625" customWidth="1"/>
    <col min="1289" max="1289" width="20.85546875" customWidth="1"/>
    <col min="1290" max="1290" width="11.85546875" customWidth="1"/>
    <col min="1291" max="1534" width="11.42578125" customWidth="1"/>
    <col min="1535" max="1535" width="3.85546875" customWidth="1"/>
    <col min="1536" max="1536" width="37.85546875" customWidth="1"/>
    <col min="1537" max="1537" width="8.85546875" customWidth="1"/>
    <col min="1538" max="1538" width="12.5703125" customWidth="1"/>
    <col min="1539" max="1540" width="8.42578125" customWidth="1"/>
    <col min="1541" max="1541" width="12.85546875" bestFit="1" customWidth="1"/>
    <col min="1542" max="1542" width="11.42578125" customWidth="1"/>
    <col min="1543" max="1544" width="9.140625" customWidth="1"/>
    <col min="1545" max="1545" width="20.85546875" customWidth="1"/>
    <col min="1546" max="1546" width="11.85546875" customWidth="1"/>
    <col min="1547" max="1790" width="11.42578125" customWidth="1"/>
    <col min="1791" max="1791" width="3.85546875" customWidth="1"/>
    <col min="1792" max="1792" width="37.85546875" customWidth="1"/>
    <col min="1793" max="1793" width="8.85546875" customWidth="1"/>
    <col min="1794" max="1794" width="12.5703125" customWidth="1"/>
    <col min="1795" max="1796" width="8.42578125" customWidth="1"/>
    <col min="1797" max="1797" width="12.85546875" bestFit="1" customWidth="1"/>
    <col min="1798" max="1798" width="11.42578125" customWidth="1"/>
    <col min="1799" max="1800" width="9.140625" customWidth="1"/>
    <col min="1801" max="1801" width="20.85546875" customWidth="1"/>
    <col min="1802" max="1802" width="11.85546875" customWidth="1"/>
    <col min="1803" max="2046" width="11.42578125" customWidth="1"/>
    <col min="2047" max="2047" width="3.85546875" customWidth="1"/>
    <col min="2048" max="2048" width="37.85546875" customWidth="1"/>
    <col min="2049" max="2049" width="8.85546875" customWidth="1"/>
    <col min="2050" max="2050" width="12.5703125" customWidth="1"/>
    <col min="2051" max="2052" width="8.42578125" customWidth="1"/>
    <col min="2053" max="2053" width="12.85546875" bestFit="1" customWidth="1"/>
    <col min="2054" max="2054" width="11.42578125" customWidth="1"/>
    <col min="2055" max="2056" width="9.140625" customWidth="1"/>
    <col min="2057" max="2057" width="20.85546875" customWidth="1"/>
    <col min="2058" max="2058" width="11.85546875" customWidth="1"/>
    <col min="2059" max="2302" width="11.42578125" customWidth="1"/>
    <col min="2303" max="2303" width="3.85546875" customWidth="1"/>
    <col min="2304" max="2304" width="37.85546875" customWidth="1"/>
    <col min="2305" max="2305" width="8.85546875" customWidth="1"/>
    <col min="2306" max="2306" width="12.5703125" customWidth="1"/>
    <col min="2307" max="2308" width="8.42578125" customWidth="1"/>
    <col min="2309" max="2309" width="12.85546875" bestFit="1" customWidth="1"/>
    <col min="2310" max="2310" width="11.42578125" customWidth="1"/>
    <col min="2311" max="2312" width="9.140625" customWidth="1"/>
    <col min="2313" max="2313" width="20.85546875" customWidth="1"/>
    <col min="2314" max="2314" width="11.85546875" customWidth="1"/>
    <col min="2315" max="2558" width="11.42578125" customWidth="1"/>
    <col min="2559" max="2559" width="3.85546875" customWidth="1"/>
    <col min="2560" max="2560" width="37.85546875" customWidth="1"/>
    <col min="2561" max="2561" width="8.85546875" customWidth="1"/>
    <col min="2562" max="2562" width="12.5703125" customWidth="1"/>
    <col min="2563" max="2564" width="8.42578125" customWidth="1"/>
    <col min="2565" max="2565" width="12.85546875" bestFit="1" customWidth="1"/>
    <col min="2566" max="2566" width="11.42578125" customWidth="1"/>
    <col min="2567" max="2568" width="9.140625" customWidth="1"/>
    <col min="2569" max="2569" width="20.85546875" customWidth="1"/>
    <col min="2570" max="2570" width="11.85546875" customWidth="1"/>
    <col min="2571" max="2814" width="11.42578125" customWidth="1"/>
    <col min="2815" max="2815" width="3.85546875" customWidth="1"/>
    <col min="2816" max="2816" width="37.85546875" customWidth="1"/>
    <col min="2817" max="2817" width="8.85546875" customWidth="1"/>
    <col min="2818" max="2818" width="12.5703125" customWidth="1"/>
    <col min="2819" max="2820" width="8.42578125" customWidth="1"/>
    <col min="2821" max="2821" width="12.85546875" bestFit="1" customWidth="1"/>
    <col min="2822" max="2822" width="11.42578125" customWidth="1"/>
    <col min="2823" max="2824" width="9.140625" customWidth="1"/>
    <col min="2825" max="2825" width="20.85546875" customWidth="1"/>
    <col min="2826" max="2826" width="11.85546875" customWidth="1"/>
    <col min="2827" max="3070" width="11.42578125" customWidth="1"/>
    <col min="3071" max="3071" width="3.85546875" customWidth="1"/>
    <col min="3072" max="3072" width="37.85546875" customWidth="1"/>
    <col min="3073" max="3073" width="8.85546875" customWidth="1"/>
    <col min="3074" max="3074" width="12.5703125" customWidth="1"/>
    <col min="3075" max="3076" width="8.42578125" customWidth="1"/>
    <col min="3077" max="3077" width="12.85546875" bestFit="1" customWidth="1"/>
    <col min="3078" max="3078" width="11.42578125" customWidth="1"/>
    <col min="3079" max="3080" width="9.140625" customWidth="1"/>
    <col min="3081" max="3081" width="20.85546875" customWidth="1"/>
    <col min="3082" max="3082" width="11.85546875" customWidth="1"/>
    <col min="3083" max="3326" width="11.42578125" customWidth="1"/>
    <col min="3327" max="3327" width="3.85546875" customWidth="1"/>
    <col min="3328" max="3328" width="37.85546875" customWidth="1"/>
    <col min="3329" max="3329" width="8.85546875" customWidth="1"/>
    <col min="3330" max="3330" width="12.5703125" customWidth="1"/>
    <col min="3331" max="3332" width="8.42578125" customWidth="1"/>
    <col min="3333" max="3333" width="12.85546875" bestFit="1" customWidth="1"/>
    <col min="3334" max="3334" width="11.42578125" customWidth="1"/>
    <col min="3335" max="3336" width="9.140625" customWidth="1"/>
    <col min="3337" max="3337" width="20.85546875" customWidth="1"/>
    <col min="3338" max="3338" width="11.85546875" customWidth="1"/>
    <col min="3339" max="3582" width="11.42578125" customWidth="1"/>
    <col min="3583" max="3583" width="3.85546875" customWidth="1"/>
    <col min="3584" max="3584" width="37.85546875" customWidth="1"/>
    <col min="3585" max="3585" width="8.85546875" customWidth="1"/>
    <col min="3586" max="3586" width="12.5703125" customWidth="1"/>
    <col min="3587" max="3588" width="8.42578125" customWidth="1"/>
    <col min="3589" max="3589" width="12.85546875" bestFit="1" customWidth="1"/>
    <col min="3590" max="3590" width="11.42578125" customWidth="1"/>
    <col min="3591" max="3592" width="9.140625" customWidth="1"/>
    <col min="3593" max="3593" width="20.85546875" customWidth="1"/>
    <col min="3594" max="3594" width="11.85546875" customWidth="1"/>
    <col min="3595" max="3838" width="11.42578125" customWidth="1"/>
    <col min="3839" max="3839" width="3.85546875" customWidth="1"/>
    <col min="3840" max="3840" width="37.85546875" customWidth="1"/>
    <col min="3841" max="3841" width="8.85546875" customWidth="1"/>
    <col min="3842" max="3842" width="12.5703125" customWidth="1"/>
    <col min="3843" max="3844" width="8.42578125" customWidth="1"/>
    <col min="3845" max="3845" width="12.85546875" bestFit="1" customWidth="1"/>
    <col min="3846" max="3846" width="11.42578125" customWidth="1"/>
    <col min="3847" max="3848" width="9.140625" customWidth="1"/>
    <col min="3849" max="3849" width="20.85546875" customWidth="1"/>
    <col min="3850" max="3850" width="11.85546875" customWidth="1"/>
    <col min="3851" max="4094" width="11.42578125" customWidth="1"/>
    <col min="4095" max="4095" width="3.85546875" customWidth="1"/>
    <col min="4096" max="4096" width="37.85546875" customWidth="1"/>
    <col min="4097" max="4097" width="8.85546875" customWidth="1"/>
    <col min="4098" max="4098" width="12.5703125" customWidth="1"/>
    <col min="4099" max="4100" width="8.42578125" customWidth="1"/>
    <col min="4101" max="4101" width="12.85546875" bestFit="1" customWidth="1"/>
    <col min="4102" max="4102" width="11.42578125" customWidth="1"/>
    <col min="4103" max="4104" width="9.140625" customWidth="1"/>
    <col min="4105" max="4105" width="20.85546875" customWidth="1"/>
    <col min="4106" max="4106" width="11.85546875" customWidth="1"/>
    <col min="4107" max="4350" width="11.42578125" customWidth="1"/>
    <col min="4351" max="4351" width="3.85546875" customWidth="1"/>
    <col min="4352" max="4352" width="37.85546875" customWidth="1"/>
    <col min="4353" max="4353" width="8.85546875" customWidth="1"/>
    <col min="4354" max="4354" width="12.5703125" customWidth="1"/>
    <col min="4355" max="4356" width="8.42578125" customWidth="1"/>
    <col min="4357" max="4357" width="12.85546875" bestFit="1" customWidth="1"/>
    <col min="4358" max="4358" width="11.42578125" customWidth="1"/>
    <col min="4359" max="4360" width="9.140625" customWidth="1"/>
    <col min="4361" max="4361" width="20.85546875" customWidth="1"/>
    <col min="4362" max="4362" width="11.85546875" customWidth="1"/>
    <col min="4363" max="4606" width="11.42578125" customWidth="1"/>
    <col min="4607" max="4607" width="3.85546875" customWidth="1"/>
    <col min="4608" max="4608" width="37.85546875" customWidth="1"/>
    <col min="4609" max="4609" width="8.85546875" customWidth="1"/>
    <col min="4610" max="4610" width="12.5703125" customWidth="1"/>
    <col min="4611" max="4612" width="8.42578125" customWidth="1"/>
    <col min="4613" max="4613" width="12.85546875" bestFit="1" customWidth="1"/>
    <col min="4614" max="4614" width="11.42578125" customWidth="1"/>
    <col min="4615" max="4616" width="9.140625" customWidth="1"/>
    <col min="4617" max="4617" width="20.85546875" customWidth="1"/>
    <col min="4618" max="4618" width="11.85546875" customWidth="1"/>
    <col min="4619" max="4862" width="11.42578125" customWidth="1"/>
    <col min="4863" max="4863" width="3.85546875" customWidth="1"/>
    <col min="4864" max="4864" width="37.85546875" customWidth="1"/>
    <col min="4865" max="4865" width="8.85546875" customWidth="1"/>
    <col min="4866" max="4866" width="12.5703125" customWidth="1"/>
    <col min="4867" max="4868" width="8.42578125" customWidth="1"/>
    <col min="4869" max="4869" width="12.85546875" bestFit="1" customWidth="1"/>
    <col min="4870" max="4870" width="11.42578125" customWidth="1"/>
    <col min="4871" max="4872" width="9.140625" customWidth="1"/>
    <col min="4873" max="4873" width="20.85546875" customWidth="1"/>
    <col min="4874" max="4874" width="11.85546875" customWidth="1"/>
    <col min="4875" max="5118" width="11.42578125" customWidth="1"/>
    <col min="5119" max="5119" width="3.85546875" customWidth="1"/>
    <col min="5120" max="5120" width="37.85546875" customWidth="1"/>
    <col min="5121" max="5121" width="8.85546875" customWidth="1"/>
    <col min="5122" max="5122" width="12.5703125" customWidth="1"/>
    <col min="5123" max="5124" width="8.42578125" customWidth="1"/>
    <col min="5125" max="5125" width="12.85546875" bestFit="1" customWidth="1"/>
    <col min="5126" max="5126" width="11.42578125" customWidth="1"/>
    <col min="5127" max="5128" width="9.140625" customWidth="1"/>
    <col min="5129" max="5129" width="20.85546875" customWidth="1"/>
    <col min="5130" max="5130" width="11.85546875" customWidth="1"/>
    <col min="5131" max="5374" width="11.42578125" customWidth="1"/>
    <col min="5375" max="5375" width="3.85546875" customWidth="1"/>
    <col min="5376" max="5376" width="37.85546875" customWidth="1"/>
    <col min="5377" max="5377" width="8.85546875" customWidth="1"/>
    <col min="5378" max="5378" width="12.5703125" customWidth="1"/>
    <col min="5379" max="5380" width="8.42578125" customWidth="1"/>
    <col min="5381" max="5381" width="12.85546875" bestFit="1" customWidth="1"/>
    <col min="5382" max="5382" width="11.42578125" customWidth="1"/>
    <col min="5383" max="5384" width="9.140625" customWidth="1"/>
    <col min="5385" max="5385" width="20.85546875" customWidth="1"/>
    <col min="5386" max="5386" width="11.85546875" customWidth="1"/>
    <col min="5387" max="5630" width="11.42578125" customWidth="1"/>
    <col min="5631" max="5631" width="3.85546875" customWidth="1"/>
    <col min="5632" max="5632" width="37.85546875" customWidth="1"/>
    <col min="5633" max="5633" width="8.85546875" customWidth="1"/>
    <col min="5634" max="5634" width="12.5703125" customWidth="1"/>
    <col min="5635" max="5636" width="8.42578125" customWidth="1"/>
    <col min="5637" max="5637" width="12.85546875" bestFit="1" customWidth="1"/>
    <col min="5638" max="5638" width="11.42578125" customWidth="1"/>
    <col min="5639" max="5640" width="9.140625" customWidth="1"/>
    <col min="5641" max="5641" width="20.85546875" customWidth="1"/>
    <col min="5642" max="5642" width="11.85546875" customWidth="1"/>
    <col min="5643" max="5886" width="11.42578125" customWidth="1"/>
    <col min="5887" max="5887" width="3.85546875" customWidth="1"/>
    <col min="5888" max="5888" width="37.85546875" customWidth="1"/>
    <col min="5889" max="5889" width="8.85546875" customWidth="1"/>
    <col min="5890" max="5890" width="12.5703125" customWidth="1"/>
    <col min="5891" max="5892" width="8.42578125" customWidth="1"/>
    <col min="5893" max="5893" width="12.85546875" bestFit="1" customWidth="1"/>
    <col min="5894" max="5894" width="11.42578125" customWidth="1"/>
    <col min="5895" max="5896" width="9.140625" customWidth="1"/>
    <col min="5897" max="5897" width="20.85546875" customWidth="1"/>
    <col min="5898" max="5898" width="11.85546875" customWidth="1"/>
    <col min="5899" max="6142" width="11.42578125" customWidth="1"/>
    <col min="6143" max="6143" width="3.85546875" customWidth="1"/>
    <col min="6144" max="6144" width="37.85546875" customWidth="1"/>
    <col min="6145" max="6145" width="8.85546875" customWidth="1"/>
    <col min="6146" max="6146" width="12.5703125" customWidth="1"/>
    <col min="6147" max="6148" width="8.42578125" customWidth="1"/>
    <col min="6149" max="6149" width="12.85546875" bestFit="1" customWidth="1"/>
    <col min="6150" max="6150" width="11.42578125" customWidth="1"/>
    <col min="6151" max="6152" width="9.140625" customWidth="1"/>
    <col min="6153" max="6153" width="20.85546875" customWidth="1"/>
    <col min="6154" max="6154" width="11.85546875" customWidth="1"/>
    <col min="6155" max="6398" width="11.42578125" customWidth="1"/>
    <col min="6399" max="6399" width="3.85546875" customWidth="1"/>
    <col min="6400" max="6400" width="37.85546875" customWidth="1"/>
    <col min="6401" max="6401" width="8.85546875" customWidth="1"/>
    <col min="6402" max="6402" width="12.5703125" customWidth="1"/>
    <col min="6403" max="6404" width="8.42578125" customWidth="1"/>
    <col min="6405" max="6405" width="12.85546875" bestFit="1" customWidth="1"/>
    <col min="6406" max="6406" width="11.42578125" customWidth="1"/>
    <col min="6407" max="6408" width="9.140625" customWidth="1"/>
    <col min="6409" max="6409" width="20.85546875" customWidth="1"/>
    <col min="6410" max="6410" width="11.85546875" customWidth="1"/>
    <col min="6411" max="6654" width="11.42578125" customWidth="1"/>
    <col min="6655" max="6655" width="3.85546875" customWidth="1"/>
    <col min="6656" max="6656" width="37.85546875" customWidth="1"/>
    <col min="6657" max="6657" width="8.85546875" customWidth="1"/>
    <col min="6658" max="6658" width="12.5703125" customWidth="1"/>
    <col min="6659" max="6660" width="8.42578125" customWidth="1"/>
    <col min="6661" max="6661" width="12.85546875" bestFit="1" customWidth="1"/>
    <col min="6662" max="6662" width="11.42578125" customWidth="1"/>
    <col min="6663" max="6664" width="9.140625" customWidth="1"/>
    <col min="6665" max="6665" width="20.85546875" customWidth="1"/>
    <col min="6666" max="6666" width="11.85546875" customWidth="1"/>
    <col min="6667" max="6910" width="11.42578125" customWidth="1"/>
    <col min="6911" max="6911" width="3.85546875" customWidth="1"/>
    <col min="6912" max="6912" width="37.85546875" customWidth="1"/>
    <col min="6913" max="6913" width="8.85546875" customWidth="1"/>
    <col min="6914" max="6914" width="12.5703125" customWidth="1"/>
    <col min="6915" max="6916" width="8.42578125" customWidth="1"/>
    <col min="6917" max="6917" width="12.85546875" bestFit="1" customWidth="1"/>
    <col min="6918" max="6918" width="11.42578125" customWidth="1"/>
    <col min="6919" max="6920" width="9.140625" customWidth="1"/>
    <col min="6921" max="6921" width="20.85546875" customWidth="1"/>
    <col min="6922" max="6922" width="11.85546875" customWidth="1"/>
    <col min="6923" max="7166" width="11.42578125" customWidth="1"/>
    <col min="7167" max="7167" width="3.85546875" customWidth="1"/>
    <col min="7168" max="7168" width="37.85546875" customWidth="1"/>
    <col min="7169" max="7169" width="8.85546875" customWidth="1"/>
    <col min="7170" max="7170" width="12.5703125" customWidth="1"/>
    <col min="7171" max="7172" width="8.42578125" customWidth="1"/>
    <col min="7173" max="7173" width="12.85546875" bestFit="1" customWidth="1"/>
    <col min="7174" max="7174" width="11.42578125" customWidth="1"/>
    <col min="7175" max="7176" width="9.140625" customWidth="1"/>
    <col min="7177" max="7177" width="20.85546875" customWidth="1"/>
    <col min="7178" max="7178" width="11.85546875" customWidth="1"/>
    <col min="7179" max="7422" width="11.42578125" customWidth="1"/>
    <col min="7423" max="7423" width="3.85546875" customWidth="1"/>
    <col min="7424" max="7424" width="37.85546875" customWidth="1"/>
    <col min="7425" max="7425" width="8.85546875" customWidth="1"/>
    <col min="7426" max="7426" width="12.5703125" customWidth="1"/>
    <col min="7427" max="7428" width="8.42578125" customWidth="1"/>
    <col min="7429" max="7429" width="12.85546875" bestFit="1" customWidth="1"/>
    <col min="7430" max="7430" width="11.42578125" customWidth="1"/>
    <col min="7431" max="7432" width="9.140625" customWidth="1"/>
    <col min="7433" max="7433" width="20.85546875" customWidth="1"/>
    <col min="7434" max="7434" width="11.85546875" customWidth="1"/>
    <col min="7435" max="7678" width="11.42578125" customWidth="1"/>
    <col min="7679" max="7679" width="3.85546875" customWidth="1"/>
    <col min="7680" max="7680" width="37.85546875" customWidth="1"/>
    <col min="7681" max="7681" width="8.85546875" customWidth="1"/>
    <col min="7682" max="7682" width="12.5703125" customWidth="1"/>
    <col min="7683" max="7684" width="8.42578125" customWidth="1"/>
    <col min="7685" max="7685" width="12.85546875" bestFit="1" customWidth="1"/>
    <col min="7686" max="7686" width="11.42578125" customWidth="1"/>
    <col min="7687" max="7688" width="9.140625" customWidth="1"/>
    <col min="7689" max="7689" width="20.85546875" customWidth="1"/>
    <col min="7690" max="7690" width="11.85546875" customWidth="1"/>
    <col min="7691" max="7934" width="11.42578125" customWidth="1"/>
    <col min="7935" max="7935" width="3.85546875" customWidth="1"/>
    <col min="7936" max="7936" width="37.85546875" customWidth="1"/>
    <col min="7937" max="7937" width="8.85546875" customWidth="1"/>
    <col min="7938" max="7938" width="12.5703125" customWidth="1"/>
    <col min="7939" max="7940" width="8.42578125" customWidth="1"/>
    <col min="7941" max="7941" width="12.85546875" bestFit="1" customWidth="1"/>
    <col min="7942" max="7942" width="11.42578125" customWidth="1"/>
    <col min="7943" max="7944" width="9.140625" customWidth="1"/>
    <col min="7945" max="7945" width="20.85546875" customWidth="1"/>
    <col min="7946" max="7946" width="11.85546875" customWidth="1"/>
    <col min="7947" max="8190" width="11.42578125" customWidth="1"/>
    <col min="8191" max="8191" width="3.85546875" customWidth="1"/>
    <col min="8192" max="8192" width="37.85546875" customWidth="1"/>
    <col min="8193" max="8193" width="8.85546875" customWidth="1"/>
    <col min="8194" max="8194" width="12.5703125" customWidth="1"/>
    <col min="8195" max="8196" width="8.42578125" customWidth="1"/>
    <col min="8197" max="8197" width="12.85546875" bestFit="1" customWidth="1"/>
    <col min="8198" max="8198" width="11.42578125" customWidth="1"/>
    <col min="8199" max="8200" width="9.140625" customWidth="1"/>
    <col min="8201" max="8201" width="20.85546875" customWidth="1"/>
    <col min="8202" max="8202" width="11.85546875" customWidth="1"/>
    <col min="8203" max="8446" width="11.42578125" customWidth="1"/>
    <col min="8447" max="8447" width="3.85546875" customWidth="1"/>
    <col min="8448" max="8448" width="37.85546875" customWidth="1"/>
    <col min="8449" max="8449" width="8.85546875" customWidth="1"/>
    <col min="8450" max="8450" width="12.5703125" customWidth="1"/>
    <col min="8451" max="8452" width="8.42578125" customWidth="1"/>
    <col min="8453" max="8453" width="12.85546875" bestFit="1" customWidth="1"/>
    <col min="8454" max="8454" width="11.42578125" customWidth="1"/>
    <col min="8455" max="8456" width="9.140625" customWidth="1"/>
    <col min="8457" max="8457" width="20.85546875" customWidth="1"/>
    <col min="8458" max="8458" width="11.85546875" customWidth="1"/>
    <col min="8459" max="8702" width="11.42578125" customWidth="1"/>
    <col min="8703" max="8703" width="3.85546875" customWidth="1"/>
    <col min="8704" max="8704" width="37.85546875" customWidth="1"/>
    <col min="8705" max="8705" width="8.85546875" customWidth="1"/>
    <col min="8706" max="8706" width="12.5703125" customWidth="1"/>
    <col min="8707" max="8708" width="8.42578125" customWidth="1"/>
    <col min="8709" max="8709" width="12.85546875" bestFit="1" customWidth="1"/>
    <col min="8710" max="8710" width="11.42578125" customWidth="1"/>
    <col min="8711" max="8712" width="9.140625" customWidth="1"/>
    <col min="8713" max="8713" width="20.85546875" customWidth="1"/>
    <col min="8714" max="8714" width="11.85546875" customWidth="1"/>
    <col min="8715" max="8958" width="11.42578125" customWidth="1"/>
    <col min="8959" max="8959" width="3.85546875" customWidth="1"/>
    <col min="8960" max="8960" width="37.85546875" customWidth="1"/>
    <col min="8961" max="8961" width="8.85546875" customWidth="1"/>
    <col min="8962" max="8962" width="12.5703125" customWidth="1"/>
    <col min="8963" max="8964" width="8.42578125" customWidth="1"/>
    <col min="8965" max="8965" width="12.85546875" bestFit="1" customWidth="1"/>
    <col min="8966" max="8966" width="11.42578125" customWidth="1"/>
    <col min="8967" max="8968" width="9.140625" customWidth="1"/>
    <col min="8969" max="8969" width="20.85546875" customWidth="1"/>
    <col min="8970" max="8970" width="11.85546875" customWidth="1"/>
    <col min="8971" max="9214" width="11.42578125" customWidth="1"/>
    <col min="9215" max="9215" width="3.85546875" customWidth="1"/>
    <col min="9216" max="9216" width="37.85546875" customWidth="1"/>
    <col min="9217" max="9217" width="8.85546875" customWidth="1"/>
    <col min="9218" max="9218" width="12.5703125" customWidth="1"/>
    <col min="9219" max="9220" width="8.42578125" customWidth="1"/>
    <col min="9221" max="9221" width="12.85546875" bestFit="1" customWidth="1"/>
    <col min="9222" max="9222" width="11.42578125" customWidth="1"/>
    <col min="9223" max="9224" width="9.140625" customWidth="1"/>
    <col min="9225" max="9225" width="20.85546875" customWidth="1"/>
    <col min="9226" max="9226" width="11.85546875" customWidth="1"/>
    <col min="9227" max="9470" width="11.42578125" customWidth="1"/>
    <col min="9471" max="9471" width="3.85546875" customWidth="1"/>
    <col min="9472" max="9472" width="37.85546875" customWidth="1"/>
    <col min="9473" max="9473" width="8.85546875" customWidth="1"/>
    <col min="9474" max="9474" width="12.5703125" customWidth="1"/>
    <col min="9475" max="9476" width="8.42578125" customWidth="1"/>
    <col min="9477" max="9477" width="12.85546875" bestFit="1" customWidth="1"/>
    <col min="9478" max="9478" width="11.42578125" customWidth="1"/>
    <col min="9479" max="9480" width="9.140625" customWidth="1"/>
    <col min="9481" max="9481" width="20.85546875" customWidth="1"/>
    <col min="9482" max="9482" width="11.85546875" customWidth="1"/>
    <col min="9483" max="9726" width="11.42578125" customWidth="1"/>
    <col min="9727" max="9727" width="3.85546875" customWidth="1"/>
    <col min="9728" max="9728" width="37.85546875" customWidth="1"/>
    <col min="9729" max="9729" width="8.85546875" customWidth="1"/>
    <col min="9730" max="9730" width="12.5703125" customWidth="1"/>
    <col min="9731" max="9732" width="8.42578125" customWidth="1"/>
    <col min="9733" max="9733" width="12.85546875" bestFit="1" customWidth="1"/>
    <col min="9734" max="9734" width="11.42578125" customWidth="1"/>
    <col min="9735" max="9736" width="9.140625" customWidth="1"/>
    <col min="9737" max="9737" width="20.85546875" customWidth="1"/>
    <col min="9738" max="9738" width="11.85546875" customWidth="1"/>
    <col min="9739" max="9982" width="11.42578125" customWidth="1"/>
    <col min="9983" max="9983" width="3.85546875" customWidth="1"/>
    <col min="9984" max="9984" width="37.85546875" customWidth="1"/>
    <col min="9985" max="9985" width="8.85546875" customWidth="1"/>
    <col min="9986" max="9986" width="12.5703125" customWidth="1"/>
    <col min="9987" max="9988" width="8.42578125" customWidth="1"/>
    <col min="9989" max="9989" width="12.85546875" bestFit="1" customWidth="1"/>
    <col min="9990" max="9990" width="11.42578125" customWidth="1"/>
    <col min="9991" max="9992" width="9.140625" customWidth="1"/>
    <col min="9993" max="9993" width="20.85546875" customWidth="1"/>
    <col min="9994" max="9994" width="11.85546875" customWidth="1"/>
    <col min="9995" max="10238" width="11.42578125" customWidth="1"/>
    <col min="10239" max="10239" width="3.85546875" customWidth="1"/>
    <col min="10240" max="10240" width="37.85546875" customWidth="1"/>
    <col min="10241" max="10241" width="8.85546875" customWidth="1"/>
    <col min="10242" max="10242" width="12.5703125" customWidth="1"/>
    <col min="10243" max="10244" width="8.42578125" customWidth="1"/>
    <col min="10245" max="10245" width="12.85546875" bestFit="1" customWidth="1"/>
    <col min="10246" max="10246" width="11.42578125" customWidth="1"/>
    <col min="10247" max="10248" width="9.140625" customWidth="1"/>
    <col min="10249" max="10249" width="20.85546875" customWidth="1"/>
    <col min="10250" max="10250" width="11.85546875" customWidth="1"/>
    <col min="10251" max="10494" width="11.42578125" customWidth="1"/>
    <col min="10495" max="10495" width="3.85546875" customWidth="1"/>
    <col min="10496" max="10496" width="37.85546875" customWidth="1"/>
    <col min="10497" max="10497" width="8.85546875" customWidth="1"/>
    <col min="10498" max="10498" width="12.5703125" customWidth="1"/>
    <col min="10499" max="10500" width="8.42578125" customWidth="1"/>
    <col min="10501" max="10501" width="12.85546875" bestFit="1" customWidth="1"/>
    <col min="10502" max="10502" width="11.42578125" customWidth="1"/>
    <col min="10503" max="10504" width="9.140625" customWidth="1"/>
    <col min="10505" max="10505" width="20.85546875" customWidth="1"/>
    <col min="10506" max="10506" width="11.85546875" customWidth="1"/>
    <col min="10507" max="10750" width="11.42578125" customWidth="1"/>
    <col min="10751" max="10751" width="3.85546875" customWidth="1"/>
    <col min="10752" max="10752" width="37.85546875" customWidth="1"/>
    <col min="10753" max="10753" width="8.85546875" customWidth="1"/>
    <col min="10754" max="10754" width="12.5703125" customWidth="1"/>
    <col min="10755" max="10756" width="8.42578125" customWidth="1"/>
    <col min="10757" max="10757" width="12.85546875" bestFit="1" customWidth="1"/>
    <col min="10758" max="10758" width="11.42578125" customWidth="1"/>
    <col min="10759" max="10760" width="9.140625" customWidth="1"/>
    <col min="10761" max="10761" width="20.85546875" customWidth="1"/>
    <col min="10762" max="10762" width="11.85546875" customWidth="1"/>
    <col min="10763" max="11006" width="11.42578125" customWidth="1"/>
    <col min="11007" max="11007" width="3.85546875" customWidth="1"/>
    <col min="11008" max="11008" width="37.85546875" customWidth="1"/>
    <col min="11009" max="11009" width="8.85546875" customWidth="1"/>
    <col min="11010" max="11010" width="12.5703125" customWidth="1"/>
    <col min="11011" max="11012" width="8.42578125" customWidth="1"/>
    <col min="11013" max="11013" width="12.85546875" bestFit="1" customWidth="1"/>
    <col min="11014" max="11014" width="11.42578125" customWidth="1"/>
    <col min="11015" max="11016" width="9.140625" customWidth="1"/>
    <col min="11017" max="11017" width="20.85546875" customWidth="1"/>
    <col min="11018" max="11018" width="11.85546875" customWidth="1"/>
    <col min="11019" max="11262" width="11.42578125" customWidth="1"/>
    <col min="11263" max="11263" width="3.85546875" customWidth="1"/>
    <col min="11264" max="11264" width="37.85546875" customWidth="1"/>
    <col min="11265" max="11265" width="8.85546875" customWidth="1"/>
    <col min="11266" max="11266" width="12.5703125" customWidth="1"/>
    <col min="11267" max="11268" width="8.42578125" customWidth="1"/>
    <col min="11269" max="11269" width="12.85546875" bestFit="1" customWidth="1"/>
    <col min="11270" max="11270" width="11.42578125" customWidth="1"/>
    <col min="11271" max="11272" width="9.140625" customWidth="1"/>
    <col min="11273" max="11273" width="20.85546875" customWidth="1"/>
    <col min="11274" max="11274" width="11.85546875" customWidth="1"/>
    <col min="11275" max="11518" width="11.42578125" customWidth="1"/>
    <col min="11519" max="11519" width="3.85546875" customWidth="1"/>
    <col min="11520" max="11520" width="37.85546875" customWidth="1"/>
    <col min="11521" max="11521" width="8.85546875" customWidth="1"/>
    <col min="11522" max="11522" width="12.5703125" customWidth="1"/>
    <col min="11523" max="11524" width="8.42578125" customWidth="1"/>
    <col min="11525" max="11525" width="12.85546875" bestFit="1" customWidth="1"/>
    <col min="11526" max="11526" width="11.42578125" customWidth="1"/>
    <col min="11527" max="11528" width="9.140625" customWidth="1"/>
    <col min="11529" max="11529" width="20.85546875" customWidth="1"/>
    <col min="11530" max="11530" width="11.85546875" customWidth="1"/>
    <col min="11531" max="11774" width="11.42578125" customWidth="1"/>
    <col min="11775" max="11775" width="3.85546875" customWidth="1"/>
    <col min="11776" max="11776" width="37.85546875" customWidth="1"/>
    <col min="11777" max="11777" width="8.85546875" customWidth="1"/>
    <col min="11778" max="11778" width="12.5703125" customWidth="1"/>
    <col min="11779" max="11780" width="8.42578125" customWidth="1"/>
    <col min="11781" max="11781" width="12.85546875" bestFit="1" customWidth="1"/>
    <col min="11782" max="11782" width="11.42578125" customWidth="1"/>
    <col min="11783" max="11784" width="9.140625" customWidth="1"/>
    <col min="11785" max="11785" width="20.85546875" customWidth="1"/>
    <col min="11786" max="11786" width="11.85546875" customWidth="1"/>
    <col min="11787" max="12030" width="11.42578125" customWidth="1"/>
    <col min="12031" max="12031" width="3.85546875" customWidth="1"/>
    <col min="12032" max="12032" width="37.85546875" customWidth="1"/>
    <col min="12033" max="12033" width="8.85546875" customWidth="1"/>
    <col min="12034" max="12034" width="12.5703125" customWidth="1"/>
    <col min="12035" max="12036" width="8.42578125" customWidth="1"/>
    <col min="12037" max="12037" width="12.85546875" bestFit="1" customWidth="1"/>
    <col min="12038" max="12038" width="11.42578125" customWidth="1"/>
    <col min="12039" max="12040" width="9.140625" customWidth="1"/>
    <col min="12041" max="12041" width="20.85546875" customWidth="1"/>
    <col min="12042" max="12042" width="11.85546875" customWidth="1"/>
    <col min="12043" max="12286" width="11.42578125" customWidth="1"/>
    <col min="12287" max="12287" width="3.85546875" customWidth="1"/>
    <col min="12288" max="12288" width="37.85546875" customWidth="1"/>
    <col min="12289" max="12289" width="8.85546875" customWidth="1"/>
    <col min="12290" max="12290" width="12.5703125" customWidth="1"/>
    <col min="12291" max="12292" width="8.42578125" customWidth="1"/>
    <col min="12293" max="12293" width="12.85546875" bestFit="1" customWidth="1"/>
    <col min="12294" max="12294" width="11.42578125" customWidth="1"/>
    <col min="12295" max="12296" width="9.140625" customWidth="1"/>
    <col min="12297" max="12297" width="20.85546875" customWidth="1"/>
    <col min="12298" max="12298" width="11.85546875" customWidth="1"/>
    <col min="12299" max="12542" width="11.42578125" customWidth="1"/>
    <col min="12543" max="12543" width="3.85546875" customWidth="1"/>
    <col min="12544" max="12544" width="37.85546875" customWidth="1"/>
    <col min="12545" max="12545" width="8.85546875" customWidth="1"/>
    <col min="12546" max="12546" width="12.5703125" customWidth="1"/>
    <col min="12547" max="12548" width="8.42578125" customWidth="1"/>
    <col min="12549" max="12549" width="12.85546875" bestFit="1" customWidth="1"/>
    <col min="12550" max="12550" width="11.42578125" customWidth="1"/>
    <col min="12551" max="12552" width="9.140625" customWidth="1"/>
    <col min="12553" max="12553" width="20.85546875" customWidth="1"/>
    <col min="12554" max="12554" width="11.85546875" customWidth="1"/>
    <col min="12555" max="12798" width="11.42578125" customWidth="1"/>
    <col min="12799" max="12799" width="3.85546875" customWidth="1"/>
    <col min="12800" max="12800" width="37.85546875" customWidth="1"/>
    <col min="12801" max="12801" width="8.85546875" customWidth="1"/>
    <col min="12802" max="12802" width="12.5703125" customWidth="1"/>
    <col min="12803" max="12804" width="8.42578125" customWidth="1"/>
    <col min="12805" max="12805" width="12.85546875" bestFit="1" customWidth="1"/>
    <col min="12806" max="12806" width="11.42578125" customWidth="1"/>
    <col min="12807" max="12808" width="9.140625" customWidth="1"/>
    <col min="12809" max="12809" width="20.85546875" customWidth="1"/>
    <col min="12810" max="12810" width="11.85546875" customWidth="1"/>
    <col min="12811" max="13054" width="11.42578125" customWidth="1"/>
    <col min="13055" max="13055" width="3.85546875" customWidth="1"/>
    <col min="13056" max="13056" width="37.85546875" customWidth="1"/>
    <col min="13057" max="13057" width="8.85546875" customWidth="1"/>
    <col min="13058" max="13058" width="12.5703125" customWidth="1"/>
    <col min="13059" max="13060" width="8.42578125" customWidth="1"/>
    <col min="13061" max="13061" width="12.85546875" bestFit="1" customWidth="1"/>
    <col min="13062" max="13062" width="11.42578125" customWidth="1"/>
    <col min="13063" max="13064" width="9.140625" customWidth="1"/>
    <col min="13065" max="13065" width="20.85546875" customWidth="1"/>
    <col min="13066" max="13066" width="11.85546875" customWidth="1"/>
    <col min="13067" max="13310" width="11.42578125" customWidth="1"/>
    <col min="13311" max="13311" width="3.85546875" customWidth="1"/>
    <col min="13312" max="13312" width="37.85546875" customWidth="1"/>
    <col min="13313" max="13313" width="8.85546875" customWidth="1"/>
    <col min="13314" max="13314" width="12.5703125" customWidth="1"/>
    <col min="13315" max="13316" width="8.42578125" customWidth="1"/>
    <col min="13317" max="13317" width="12.85546875" bestFit="1" customWidth="1"/>
    <col min="13318" max="13318" width="11.42578125" customWidth="1"/>
    <col min="13319" max="13320" width="9.140625" customWidth="1"/>
    <col min="13321" max="13321" width="20.85546875" customWidth="1"/>
    <col min="13322" max="13322" width="11.85546875" customWidth="1"/>
    <col min="13323" max="13566" width="11.42578125" customWidth="1"/>
    <col min="13567" max="13567" width="3.85546875" customWidth="1"/>
    <col min="13568" max="13568" width="37.85546875" customWidth="1"/>
    <col min="13569" max="13569" width="8.85546875" customWidth="1"/>
    <col min="13570" max="13570" width="12.5703125" customWidth="1"/>
    <col min="13571" max="13572" width="8.42578125" customWidth="1"/>
    <col min="13573" max="13573" width="12.85546875" bestFit="1" customWidth="1"/>
    <col min="13574" max="13574" width="11.42578125" customWidth="1"/>
    <col min="13575" max="13576" width="9.140625" customWidth="1"/>
    <col min="13577" max="13577" width="20.85546875" customWidth="1"/>
    <col min="13578" max="13578" width="11.85546875" customWidth="1"/>
    <col min="13579" max="13822" width="11.42578125" customWidth="1"/>
    <col min="13823" max="13823" width="3.85546875" customWidth="1"/>
    <col min="13824" max="13824" width="37.85546875" customWidth="1"/>
    <col min="13825" max="13825" width="8.85546875" customWidth="1"/>
    <col min="13826" max="13826" width="12.5703125" customWidth="1"/>
    <col min="13827" max="13828" width="8.42578125" customWidth="1"/>
    <col min="13829" max="13829" width="12.85546875" bestFit="1" customWidth="1"/>
    <col min="13830" max="13830" width="11.42578125" customWidth="1"/>
    <col min="13831" max="13832" width="9.140625" customWidth="1"/>
    <col min="13833" max="13833" width="20.85546875" customWidth="1"/>
    <col min="13834" max="13834" width="11.85546875" customWidth="1"/>
    <col min="13835" max="14078" width="11.42578125" customWidth="1"/>
    <col min="14079" max="14079" width="3.85546875" customWidth="1"/>
    <col min="14080" max="14080" width="37.85546875" customWidth="1"/>
    <col min="14081" max="14081" width="8.85546875" customWidth="1"/>
    <col min="14082" max="14082" width="12.5703125" customWidth="1"/>
    <col min="14083" max="14084" width="8.42578125" customWidth="1"/>
    <col min="14085" max="14085" width="12.85546875" bestFit="1" customWidth="1"/>
    <col min="14086" max="14086" width="11.42578125" customWidth="1"/>
    <col min="14087" max="14088" width="9.140625" customWidth="1"/>
    <col min="14089" max="14089" width="20.85546875" customWidth="1"/>
    <col min="14090" max="14090" width="11.85546875" customWidth="1"/>
    <col min="14091" max="14334" width="11.42578125" customWidth="1"/>
    <col min="14335" max="14335" width="3.85546875" customWidth="1"/>
    <col min="14336" max="14336" width="37.85546875" customWidth="1"/>
    <col min="14337" max="14337" width="8.85546875" customWidth="1"/>
    <col min="14338" max="14338" width="12.5703125" customWidth="1"/>
    <col min="14339" max="14340" width="8.42578125" customWidth="1"/>
    <col min="14341" max="14341" width="12.85546875" bestFit="1" customWidth="1"/>
    <col min="14342" max="14342" width="11.42578125" customWidth="1"/>
    <col min="14343" max="14344" width="9.140625" customWidth="1"/>
    <col min="14345" max="14345" width="20.85546875" customWidth="1"/>
    <col min="14346" max="14346" width="11.85546875" customWidth="1"/>
    <col min="14347" max="14590" width="11.42578125" customWidth="1"/>
    <col min="14591" max="14591" width="3.85546875" customWidth="1"/>
    <col min="14592" max="14592" width="37.85546875" customWidth="1"/>
    <col min="14593" max="14593" width="8.85546875" customWidth="1"/>
    <col min="14594" max="14594" width="12.5703125" customWidth="1"/>
    <col min="14595" max="14596" width="8.42578125" customWidth="1"/>
    <col min="14597" max="14597" width="12.85546875" bestFit="1" customWidth="1"/>
    <col min="14598" max="14598" width="11.42578125" customWidth="1"/>
    <col min="14599" max="14600" width="9.140625" customWidth="1"/>
    <col min="14601" max="14601" width="20.85546875" customWidth="1"/>
    <col min="14602" max="14602" width="11.85546875" customWidth="1"/>
    <col min="14603" max="14846" width="11.42578125" customWidth="1"/>
    <col min="14847" max="14847" width="3.85546875" customWidth="1"/>
    <col min="14848" max="14848" width="37.85546875" customWidth="1"/>
    <col min="14849" max="14849" width="8.85546875" customWidth="1"/>
    <col min="14850" max="14850" width="12.5703125" customWidth="1"/>
    <col min="14851" max="14852" width="8.42578125" customWidth="1"/>
    <col min="14853" max="14853" width="12.85546875" bestFit="1" customWidth="1"/>
    <col min="14854" max="14854" width="11.42578125" customWidth="1"/>
    <col min="14855" max="14856" width="9.140625" customWidth="1"/>
    <col min="14857" max="14857" width="20.85546875" customWidth="1"/>
    <col min="14858" max="14858" width="11.85546875" customWidth="1"/>
    <col min="14859" max="15102" width="11.42578125" customWidth="1"/>
    <col min="15103" max="15103" width="3.85546875" customWidth="1"/>
    <col min="15104" max="15104" width="37.85546875" customWidth="1"/>
    <col min="15105" max="15105" width="8.85546875" customWidth="1"/>
    <col min="15106" max="15106" width="12.5703125" customWidth="1"/>
    <col min="15107" max="15108" width="8.42578125" customWidth="1"/>
    <col min="15109" max="15109" width="12.85546875" bestFit="1" customWidth="1"/>
    <col min="15110" max="15110" width="11.42578125" customWidth="1"/>
    <col min="15111" max="15112" width="9.140625" customWidth="1"/>
    <col min="15113" max="15113" width="20.85546875" customWidth="1"/>
    <col min="15114" max="15114" width="11.85546875" customWidth="1"/>
    <col min="15115" max="15358" width="11.42578125" customWidth="1"/>
    <col min="15359" max="15359" width="3.85546875" customWidth="1"/>
    <col min="15360" max="15360" width="37.85546875" customWidth="1"/>
    <col min="15361" max="15361" width="8.85546875" customWidth="1"/>
    <col min="15362" max="15362" width="12.5703125" customWidth="1"/>
    <col min="15363" max="15364" width="8.42578125" customWidth="1"/>
    <col min="15365" max="15365" width="12.85546875" bestFit="1" customWidth="1"/>
    <col min="15366" max="15366" width="11.42578125" customWidth="1"/>
    <col min="15367" max="15368" width="9.140625" customWidth="1"/>
    <col min="15369" max="15369" width="20.85546875" customWidth="1"/>
    <col min="15370" max="15370" width="11.85546875" customWidth="1"/>
    <col min="15371" max="15614" width="11.42578125" customWidth="1"/>
    <col min="15615" max="15615" width="3.85546875" customWidth="1"/>
    <col min="15616" max="15616" width="37.85546875" customWidth="1"/>
    <col min="15617" max="15617" width="8.85546875" customWidth="1"/>
    <col min="15618" max="15618" width="12.5703125" customWidth="1"/>
    <col min="15619" max="15620" width="8.42578125" customWidth="1"/>
    <col min="15621" max="15621" width="12.85546875" bestFit="1" customWidth="1"/>
    <col min="15622" max="15622" width="11.42578125" customWidth="1"/>
    <col min="15623" max="15624" width="9.140625" customWidth="1"/>
    <col min="15625" max="15625" width="20.85546875" customWidth="1"/>
    <col min="15626" max="15626" width="11.85546875" customWidth="1"/>
    <col min="15627" max="15870" width="11.42578125" customWidth="1"/>
    <col min="15871" max="15871" width="3.85546875" customWidth="1"/>
    <col min="15872" max="15872" width="37.85546875" customWidth="1"/>
    <col min="15873" max="15873" width="8.85546875" customWidth="1"/>
    <col min="15874" max="15874" width="12.5703125" customWidth="1"/>
    <col min="15875" max="15876" width="8.42578125" customWidth="1"/>
    <col min="15877" max="15877" width="12.85546875" bestFit="1" customWidth="1"/>
    <col min="15878" max="15878" width="11.42578125" customWidth="1"/>
    <col min="15879" max="15880" width="9.140625" customWidth="1"/>
    <col min="15881" max="15881" width="20.85546875" customWidth="1"/>
    <col min="15882" max="15882" width="11.85546875" customWidth="1"/>
    <col min="15883" max="16126" width="11.42578125" customWidth="1"/>
    <col min="16127" max="16127" width="3.85546875" customWidth="1"/>
    <col min="16128" max="16128" width="37.85546875" customWidth="1"/>
    <col min="16129" max="16129" width="8.85546875" customWidth="1"/>
    <col min="16130" max="16130" width="12.5703125" customWidth="1"/>
    <col min="16131" max="16132" width="8.42578125" customWidth="1"/>
    <col min="16133" max="16133" width="12.85546875" bestFit="1" customWidth="1"/>
    <col min="16134" max="16134" width="11.42578125" customWidth="1"/>
    <col min="16135" max="16136" width="9.140625" customWidth="1"/>
    <col min="16137" max="16137" width="20.85546875" customWidth="1"/>
    <col min="16138" max="16138" width="11.85546875" customWidth="1"/>
    <col min="16139" max="16384" width="11.42578125" customWidth="1"/>
  </cols>
  <sheetData>
    <row r="1" spans="1:11" ht="17.25" customHeight="1">
      <c r="A1" s="215"/>
      <c r="B1" s="215"/>
      <c r="C1" s="220" t="s">
        <v>95</v>
      </c>
      <c r="D1" s="220"/>
      <c r="E1" s="220"/>
      <c r="F1" s="220"/>
      <c r="G1" s="220"/>
      <c r="H1" s="220"/>
      <c r="I1" s="220"/>
      <c r="J1" s="220"/>
      <c r="K1" s="220"/>
    </row>
    <row r="2" spans="1:11" ht="28.5" customHeight="1">
      <c r="A2" s="216"/>
      <c r="B2" s="216"/>
      <c r="C2" s="221"/>
      <c r="D2" s="221"/>
      <c r="E2" s="221"/>
      <c r="F2" s="221"/>
      <c r="G2" s="221"/>
      <c r="H2" s="221"/>
      <c r="I2" s="221"/>
      <c r="J2" s="221"/>
      <c r="K2" s="221"/>
    </row>
    <row r="3" spans="1:11" ht="31.5" customHeight="1">
      <c r="A3" s="217"/>
      <c r="B3" s="217"/>
      <c r="C3" s="222"/>
      <c r="D3" s="222"/>
      <c r="E3" s="222"/>
      <c r="F3" s="222"/>
      <c r="G3" s="222"/>
      <c r="H3" s="222"/>
      <c r="I3" s="222"/>
      <c r="J3" s="222"/>
      <c r="K3" s="222"/>
    </row>
    <row r="4" spans="1:11" s="3" customFormat="1" ht="12.75" customHeight="1">
      <c r="A4" s="1"/>
      <c r="B4" s="1"/>
      <c r="C4" s="218" t="s">
        <v>1</v>
      </c>
      <c r="D4" s="218"/>
      <c r="E4" s="218"/>
      <c r="F4" s="218"/>
      <c r="G4" s="219"/>
      <c r="H4" s="2">
        <v>600.30600000000004</v>
      </c>
      <c r="I4" s="226" t="s">
        <v>96</v>
      </c>
      <c r="J4" s="226" t="s">
        <v>97</v>
      </c>
      <c r="K4" s="223" t="s">
        <v>98</v>
      </c>
    </row>
    <row r="5" spans="1:11" s="3" customFormat="1" ht="12.75" customHeight="1">
      <c r="A5" s="229"/>
      <c r="B5" s="230" t="s">
        <v>2</v>
      </c>
      <c r="C5" s="231" t="s">
        <v>3</v>
      </c>
      <c r="D5" s="231" t="s">
        <v>4</v>
      </c>
      <c r="E5" s="233" t="s">
        <v>5</v>
      </c>
      <c r="F5" s="234"/>
      <c r="G5" s="235" t="s">
        <v>6</v>
      </c>
      <c r="H5" s="237" t="s">
        <v>7</v>
      </c>
      <c r="I5" s="227"/>
      <c r="J5" s="227"/>
      <c r="K5" s="224"/>
    </row>
    <row r="6" spans="1:11" s="3" customFormat="1" ht="12.75" customHeight="1">
      <c r="A6" s="229"/>
      <c r="B6" s="230"/>
      <c r="C6" s="232"/>
      <c r="D6" s="232"/>
      <c r="E6" s="4" t="s">
        <v>8</v>
      </c>
      <c r="F6" s="48" t="s">
        <v>9</v>
      </c>
      <c r="G6" s="236"/>
      <c r="H6" s="238"/>
      <c r="I6" s="228"/>
      <c r="J6" s="228"/>
      <c r="K6" s="225"/>
    </row>
    <row r="7" spans="1:11" s="3" customFormat="1" ht="10.5">
      <c r="A7" s="5">
        <v>1</v>
      </c>
      <c r="B7" s="6" t="s">
        <v>99</v>
      </c>
      <c r="C7" s="7"/>
      <c r="D7" s="8"/>
      <c r="E7" s="7"/>
      <c r="F7" s="7"/>
      <c r="G7" s="64">
        <f>G15+G14+G13+G11+G10+G9+G8</f>
        <v>3952200</v>
      </c>
      <c r="H7" s="9">
        <f>H15+H14+H13+H11+H10+H9+H8</f>
        <v>6583.6423424053728</v>
      </c>
      <c r="I7" s="9">
        <f>H7</f>
        <v>6583.6423424053728</v>
      </c>
      <c r="J7" s="10"/>
      <c r="K7" s="10"/>
    </row>
    <row r="8" spans="1:11" s="3" customFormat="1" ht="10.5">
      <c r="A8" s="11"/>
      <c r="B8" s="76" t="s">
        <v>85</v>
      </c>
      <c r="C8" s="77">
        <v>30</v>
      </c>
      <c r="D8" s="77">
        <v>2500</v>
      </c>
      <c r="E8" s="77" t="s">
        <v>12</v>
      </c>
      <c r="F8" s="77">
        <v>5</v>
      </c>
      <c r="G8" s="77">
        <f>+C8*D8*F8</f>
        <v>375000</v>
      </c>
      <c r="H8" s="78">
        <f t="shared" ref="H8:H15" si="0">+G8/$H$4</f>
        <v>624.68141247963536</v>
      </c>
      <c r="I8" s="78">
        <f>H8</f>
        <v>624.68141247963536</v>
      </c>
      <c r="J8" s="79"/>
      <c r="K8" s="1"/>
    </row>
    <row r="9" spans="1:11" s="3" customFormat="1" ht="10.5">
      <c r="A9" s="17"/>
      <c r="B9" s="12" t="s">
        <v>71</v>
      </c>
      <c r="C9" s="62">
        <v>55</v>
      </c>
      <c r="D9" s="62">
        <v>4000</v>
      </c>
      <c r="E9" s="62" t="s">
        <v>12</v>
      </c>
      <c r="F9" s="62">
        <v>5</v>
      </c>
      <c r="G9" s="62">
        <f>+C9*D9*F9</f>
        <v>1100000</v>
      </c>
      <c r="H9" s="63">
        <f t="shared" si="0"/>
        <v>1832.3988099402636</v>
      </c>
      <c r="I9" s="63">
        <f t="shared" ref="I9:I15" si="1">H9</f>
        <v>1832.3988099402636</v>
      </c>
      <c r="J9" s="2"/>
      <c r="K9" s="1"/>
    </row>
    <row r="10" spans="1:11" s="3" customFormat="1" ht="10.5">
      <c r="A10" s="11"/>
      <c r="B10" s="12" t="s">
        <v>15</v>
      </c>
      <c r="C10" s="62">
        <v>55</v>
      </c>
      <c r="D10" s="62">
        <v>5000</v>
      </c>
      <c r="E10" s="62" t="s">
        <v>12</v>
      </c>
      <c r="F10" s="62">
        <v>5</v>
      </c>
      <c r="G10" s="62">
        <f>+C10*D10*F10</f>
        <v>1375000</v>
      </c>
      <c r="H10" s="63">
        <f t="shared" si="0"/>
        <v>2290.4985124253294</v>
      </c>
      <c r="I10" s="63">
        <f t="shared" si="1"/>
        <v>2290.4985124253294</v>
      </c>
      <c r="J10" s="2"/>
      <c r="K10" s="1"/>
    </row>
    <row r="11" spans="1:11" s="3" customFormat="1" ht="10.5">
      <c r="A11" s="11"/>
      <c r="B11" s="18" t="s">
        <v>100</v>
      </c>
      <c r="C11" s="62">
        <v>1</v>
      </c>
      <c r="D11" s="62">
        <v>150000</v>
      </c>
      <c r="E11" s="62" t="s">
        <v>12</v>
      </c>
      <c r="F11" s="62">
        <v>4</v>
      </c>
      <c r="G11" s="62">
        <f>+C11*D11*F11</f>
        <v>600000</v>
      </c>
      <c r="H11" s="63">
        <f t="shared" si="0"/>
        <v>999.49025996741659</v>
      </c>
      <c r="I11" s="63">
        <f t="shared" si="1"/>
        <v>999.49025996741659</v>
      </c>
      <c r="J11" s="2"/>
      <c r="K11" s="1"/>
    </row>
    <row r="12" spans="1:11" s="3" customFormat="1" ht="10.5">
      <c r="A12" s="11"/>
      <c r="B12" s="80" t="s">
        <v>101</v>
      </c>
      <c r="C12" s="77"/>
      <c r="D12" s="77"/>
      <c r="E12" s="77"/>
      <c r="F12" s="77"/>
      <c r="G12" s="77"/>
      <c r="H12" s="78">
        <f t="shared" si="0"/>
        <v>0</v>
      </c>
      <c r="I12" s="78">
        <f t="shared" si="1"/>
        <v>0</v>
      </c>
      <c r="J12" s="79"/>
      <c r="K12" s="1"/>
    </row>
    <row r="13" spans="1:11" s="3" customFormat="1" ht="10.5">
      <c r="A13" s="11"/>
      <c r="B13" s="76" t="s">
        <v>102</v>
      </c>
      <c r="C13" s="77">
        <v>2</v>
      </c>
      <c r="D13" s="77">
        <v>150000</v>
      </c>
      <c r="E13" s="77" t="s">
        <v>12</v>
      </c>
      <c r="F13" s="77">
        <v>1</v>
      </c>
      <c r="G13" s="77">
        <f>+C13*D13*F13</f>
        <v>300000</v>
      </c>
      <c r="H13" s="78">
        <f t="shared" si="0"/>
        <v>499.7451299837083</v>
      </c>
      <c r="I13" s="78">
        <f t="shared" si="1"/>
        <v>499.7451299837083</v>
      </c>
      <c r="J13" s="79"/>
      <c r="K13" s="1"/>
    </row>
    <row r="14" spans="1:11" s="3" customFormat="1" ht="10.5">
      <c r="A14" s="11"/>
      <c r="B14" s="76" t="s">
        <v>103</v>
      </c>
      <c r="C14" s="77">
        <v>60</v>
      </c>
      <c r="D14" s="77">
        <v>870</v>
      </c>
      <c r="E14" s="77" t="s">
        <v>12</v>
      </c>
      <c r="F14" s="77">
        <v>1</v>
      </c>
      <c r="G14" s="77">
        <f>+C14*D14*F14</f>
        <v>52200</v>
      </c>
      <c r="H14" s="78">
        <f t="shared" si="0"/>
        <v>86.955652617165242</v>
      </c>
      <c r="I14" s="78">
        <f t="shared" si="1"/>
        <v>86.955652617165242</v>
      </c>
      <c r="J14" s="79"/>
      <c r="K14" s="1"/>
    </row>
    <row r="15" spans="1:11" s="3" customFormat="1" ht="10.5">
      <c r="A15" s="11"/>
      <c r="B15" s="76" t="s">
        <v>104</v>
      </c>
      <c r="C15" s="77"/>
      <c r="D15" s="77"/>
      <c r="E15" s="77"/>
      <c r="F15" s="77"/>
      <c r="G15" s="77">
        <v>150000</v>
      </c>
      <c r="H15" s="78">
        <f t="shared" si="0"/>
        <v>249.87256499185415</v>
      </c>
      <c r="I15" s="78">
        <f t="shared" si="1"/>
        <v>249.87256499185415</v>
      </c>
      <c r="J15" s="79"/>
      <c r="K15" s="1"/>
    </row>
    <row r="16" spans="1:11" s="3" customFormat="1" ht="10.5">
      <c r="A16" s="5">
        <v>2</v>
      </c>
      <c r="B16" s="6" t="s">
        <v>24</v>
      </c>
      <c r="C16" s="7"/>
      <c r="D16" s="8"/>
      <c r="E16" s="7"/>
      <c r="F16" s="7"/>
      <c r="G16" s="9">
        <f>G32+G31+G30+G29+G28+G27+G25+G24+G23+G22+G21+G20+G19+G18</f>
        <v>908100</v>
      </c>
      <c r="H16" s="20">
        <f>+G16/$H$4</f>
        <v>1512.7285084606849</v>
      </c>
      <c r="I16" s="10">
        <f>H16</f>
        <v>1512.7285084606849</v>
      </c>
      <c r="J16" s="30"/>
      <c r="K16" s="10"/>
    </row>
    <row r="17" spans="1:11" s="3" customFormat="1" ht="10.5">
      <c r="A17" s="21"/>
      <c r="B17" s="22" t="s">
        <v>105</v>
      </c>
      <c r="C17" s="62"/>
      <c r="D17" s="62"/>
      <c r="E17" s="62"/>
      <c r="F17" s="62"/>
      <c r="G17" s="62"/>
      <c r="H17" s="23"/>
      <c r="I17" s="24"/>
      <c r="J17" s="51"/>
      <c r="K17" s="1"/>
    </row>
    <row r="18" spans="1:11" s="3" customFormat="1" ht="10.5">
      <c r="A18" s="17"/>
      <c r="B18" s="25" t="s">
        <v>25</v>
      </c>
      <c r="C18" s="62">
        <v>30</v>
      </c>
      <c r="D18" s="62">
        <v>100</v>
      </c>
      <c r="E18" s="65"/>
      <c r="F18" s="65"/>
      <c r="G18" s="62">
        <f t="shared" ref="G18:G32" si="2">+C18*D18</f>
        <v>3000</v>
      </c>
      <c r="H18" s="63">
        <f t="shared" ref="H18:H32" si="3">+G18/$H$4</f>
        <v>4.997451299837083</v>
      </c>
      <c r="I18" s="63">
        <f t="shared" ref="I18:I32" si="4">H18</f>
        <v>4.997451299837083</v>
      </c>
      <c r="J18" s="2"/>
      <c r="K18" s="1"/>
    </row>
    <row r="19" spans="1:11" s="3" customFormat="1" ht="10.5">
      <c r="A19" s="17"/>
      <c r="B19" s="25" t="s">
        <v>106</v>
      </c>
      <c r="C19" s="62">
        <v>5</v>
      </c>
      <c r="D19" s="62">
        <v>4000</v>
      </c>
      <c r="E19" s="65"/>
      <c r="F19" s="65"/>
      <c r="G19" s="62">
        <f t="shared" si="2"/>
        <v>20000</v>
      </c>
      <c r="H19" s="63">
        <f t="shared" si="3"/>
        <v>33.316341998913884</v>
      </c>
      <c r="I19" s="63">
        <f t="shared" si="4"/>
        <v>33.316341998913884</v>
      </c>
      <c r="J19" s="2"/>
      <c r="K19" s="1"/>
    </row>
    <row r="20" spans="1:11" s="3" customFormat="1" ht="10.5">
      <c r="A20" s="17"/>
      <c r="B20" s="25" t="s">
        <v>107</v>
      </c>
      <c r="C20" s="62">
        <v>14</v>
      </c>
      <c r="D20" s="62">
        <v>2000</v>
      </c>
      <c r="E20" s="65"/>
      <c r="F20" s="65"/>
      <c r="G20" s="62">
        <f>+C20*D20</f>
        <v>28000</v>
      </c>
      <c r="H20" s="63">
        <f>+G20/$H$4</f>
        <v>46.642878798479437</v>
      </c>
      <c r="I20" s="63">
        <f>H20</f>
        <v>46.642878798479437</v>
      </c>
      <c r="J20" s="2"/>
      <c r="K20" s="1"/>
    </row>
    <row r="21" spans="1:11" s="3" customFormat="1" ht="10.5">
      <c r="A21" s="26"/>
      <c r="B21" s="25" t="s">
        <v>26</v>
      </c>
      <c r="C21" s="62">
        <v>30</v>
      </c>
      <c r="D21" s="62">
        <v>2000</v>
      </c>
      <c r="E21" s="65"/>
      <c r="F21" s="65"/>
      <c r="G21" s="62">
        <f>+C21*D21</f>
        <v>60000</v>
      </c>
      <c r="H21" s="63">
        <f>+G21/$H$4</f>
        <v>99.949025996741653</v>
      </c>
      <c r="I21" s="63">
        <f>H21</f>
        <v>99.949025996741653</v>
      </c>
      <c r="J21" s="2"/>
      <c r="K21" s="1"/>
    </row>
    <row r="22" spans="1:11" s="3" customFormat="1" ht="10.5">
      <c r="A22" s="17"/>
      <c r="B22" s="25" t="s">
        <v>108</v>
      </c>
      <c r="C22" s="62">
        <v>30</v>
      </c>
      <c r="D22" s="62">
        <v>600</v>
      </c>
      <c r="E22" s="65"/>
      <c r="F22" s="65"/>
      <c r="G22" s="62">
        <f t="shared" si="2"/>
        <v>18000</v>
      </c>
      <c r="H22" s="63">
        <f t="shared" si="3"/>
        <v>29.984707799022498</v>
      </c>
      <c r="I22" s="63">
        <f t="shared" si="4"/>
        <v>29.984707799022498</v>
      </c>
      <c r="J22" s="2"/>
      <c r="K22" s="1"/>
    </row>
    <row r="23" spans="1:11" s="3" customFormat="1" ht="10.5">
      <c r="A23" s="17"/>
      <c r="B23" s="25" t="s">
        <v>28</v>
      </c>
      <c r="C23" s="62">
        <v>90</v>
      </c>
      <c r="D23" s="62">
        <v>200</v>
      </c>
      <c r="E23" s="65"/>
      <c r="F23" s="65"/>
      <c r="G23" s="62">
        <f t="shared" si="2"/>
        <v>18000</v>
      </c>
      <c r="H23" s="63">
        <f t="shared" si="3"/>
        <v>29.984707799022498</v>
      </c>
      <c r="I23" s="63">
        <f t="shared" si="4"/>
        <v>29.984707799022498</v>
      </c>
      <c r="J23" s="2"/>
      <c r="K23" s="1"/>
    </row>
    <row r="24" spans="1:11" s="3" customFormat="1" ht="10.5">
      <c r="A24" s="17"/>
      <c r="B24" s="25" t="s">
        <v>109</v>
      </c>
      <c r="C24" s="62">
        <v>74</v>
      </c>
      <c r="D24" s="62">
        <v>150</v>
      </c>
      <c r="E24" s="65"/>
      <c r="F24" s="65"/>
      <c r="G24" s="62">
        <f t="shared" si="2"/>
        <v>11100</v>
      </c>
      <c r="H24" s="63">
        <f t="shared" si="3"/>
        <v>18.490569809397208</v>
      </c>
      <c r="I24" s="63">
        <f t="shared" si="4"/>
        <v>18.490569809397208</v>
      </c>
      <c r="J24" s="2"/>
      <c r="K24" s="1"/>
    </row>
    <row r="25" spans="1:11" s="3" customFormat="1" ht="10.5">
      <c r="A25" s="17"/>
      <c r="B25" s="25" t="s">
        <v>110</v>
      </c>
      <c r="C25" s="62">
        <v>24</v>
      </c>
      <c r="D25" s="62">
        <v>1500</v>
      </c>
      <c r="E25" s="65"/>
      <c r="F25" s="65"/>
      <c r="G25" s="62">
        <f t="shared" si="2"/>
        <v>36000</v>
      </c>
      <c r="H25" s="63">
        <f t="shared" si="3"/>
        <v>59.969415598044996</v>
      </c>
      <c r="I25" s="63">
        <f t="shared" si="4"/>
        <v>59.969415598044996</v>
      </c>
      <c r="J25" s="2"/>
      <c r="K25" s="1"/>
    </row>
    <row r="26" spans="1:11" s="3" customFormat="1" ht="10.5">
      <c r="A26" s="17"/>
      <c r="B26" s="27" t="s">
        <v>111</v>
      </c>
      <c r="C26" s="62"/>
      <c r="D26" s="62"/>
      <c r="E26" s="65"/>
      <c r="F26" s="65"/>
      <c r="G26" s="62"/>
      <c r="H26" s="63"/>
      <c r="I26" s="16"/>
      <c r="J26" s="2"/>
      <c r="K26" s="1"/>
    </row>
    <row r="27" spans="1:11" s="3" customFormat="1" ht="10.5">
      <c r="A27" s="26"/>
      <c r="B27" s="25" t="s">
        <v>112</v>
      </c>
      <c r="C27" s="62">
        <v>30</v>
      </c>
      <c r="D27" s="62">
        <v>2000</v>
      </c>
      <c r="E27" s="65"/>
      <c r="F27" s="65"/>
      <c r="G27" s="62">
        <f t="shared" si="2"/>
        <v>60000</v>
      </c>
      <c r="H27" s="63">
        <f t="shared" si="3"/>
        <v>99.949025996741653</v>
      </c>
      <c r="I27" s="63">
        <f t="shared" si="4"/>
        <v>99.949025996741653</v>
      </c>
      <c r="J27" s="2"/>
      <c r="K27" s="1"/>
    </row>
    <row r="28" spans="1:11" s="3" customFormat="1" ht="10.5">
      <c r="A28" s="26"/>
      <c r="B28" s="25" t="s">
        <v>113</v>
      </c>
      <c r="C28" s="62">
        <v>30</v>
      </c>
      <c r="D28" s="62">
        <v>13000</v>
      </c>
      <c r="E28" s="65"/>
      <c r="F28" s="65"/>
      <c r="G28" s="62">
        <f t="shared" si="2"/>
        <v>390000</v>
      </c>
      <c r="H28" s="63">
        <f t="shared" si="3"/>
        <v>649.66866897882073</v>
      </c>
      <c r="I28" s="63">
        <f t="shared" si="4"/>
        <v>649.66866897882073</v>
      </c>
      <c r="J28" s="2"/>
      <c r="K28" s="1"/>
    </row>
    <row r="29" spans="1:11" s="3" customFormat="1" ht="10.5">
      <c r="A29" s="26"/>
      <c r="B29" s="25" t="s">
        <v>114</v>
      </c>
      <c r="C29" s="62">
        <v>7</v>
      </c>
      <c r="D29" s="62">
        <v>6000</v>
      </c>
      <c r="E29" s="65"/>
      <c r="F29" s="65"/>
      <c r="G29" s="62">
        <f t="shared" si="2"/>
        <v>42000</v>
      </c>
      <c r="H29" s="63">
        <f t="shared" si="3"/>
        <v>69.964318197719152</v>
      </c>
      <c r="I29" s="63">
        <f t="shared" si="4"/>
        <v>69.964318197719152</v>
      </c>
      <c r="J29" s="2"/>
      <c r="K29" s="1"/>
    </row>
    <row r="30" spans="1:11" s="3" customFormat="1" ht="10.5">
      <c r="A30" s="26"/>
      <c r="B30" s="25" t="s">
        <v>115</v>
      </c>
      <c r="C30" s="62">
        <v>7</v>
      </c>
      <c r="D30" s="62">
        <v>2500</v>
      </c>
      <c r="E30" s="65"/>
      <c r="F30" s="65"/>
      <c r="G30" s="62">
        <f t="shared" si="2"/>
        <v>17500</v>
      </c>
      <c r="H30" s="63">
        <f t="shared" si="3"/>
        <v>29.151799249049649</v>
      </c>
      <c r="I30" s="63">
        <f t="shared" si="4"/>
        <v>29.151799249049649</v>
      </c>
      <c r="J30" s="2"/>
      <c r="K30" s="1"/>
    </row>
    <row r="31" spans="1:11" s="3" customFormat="1" ht="10.5">
      <c r="A31" s="26"/>
      <c r="B31" s="25" t="s">
        <v>116</v>
      </c>
      <c r="C31" s="62">
        <v>7</v>
      </c>
      <c r="D31" s="62">
        <v>3500</v>
      </c>
      <c r="E31" s="65"/>
      <c r="F31" s="65"/>
      <c r="G31" s="62">
        <f t="shared" si="2"/>
        <v>24500</v>
      </c>
      <c r="H31" s="63">
        <f t="shared" si="3"/>
        <v>40.812518948669506</v>
      </c>
      <c r="I31" s="63">
        <f t="shared" si="4"/>
        <v>40.812518948669506</v>
      </c>
      <c r="J31" s="2"/>
      <c r="K31" s="1"/>
    </row>
    <row r="32" spans="1:11" s="3" customFormat="1" ht="10.5">
      <c r="A32" s="26"/>
      <c r="B32" s="25" t="s">
        <v>117</v>
      </c>
      <c r="C32" s="62">
        <v>30</v>
      </c>
      <c r="D32" s="62">
        <v>6000</v>
      </c>
      <c r="E32" s="65"/>
      <c r="F32" s="65"/>
      <c r="G32" s="62">
        <f t="shared" si="2"/>
        <v>180000</v>
      </c>
      <c r="H32" s="63">
        <f t="shared" si="3"/>
        <v>299.84707799022499</v>
      </c>
      <c r="I32" s="63">
        <f t="shared" si="4"/>
        <v>299.84707799022499</v>
      </c>
      <c r="J32" s="2"/>
      <c r="K32" s="1"/>
    </row>
    <row r="33" spans="1:11" s="3" customFormat="1" ht="10.5">
      <c r="A33" s="5">
        <v>3</v>
      </c>
      <c r="B33" s="6" t="s">
        <v>31</v>
      </c>
      <c r="C33" s="7"/>
      <c r="D33" s="8"/>
      <c r="E33" s="7"/>
      <c r="F33" s="7"/>
      <c r="G33" s="9">
        <f>G44+G43+G42+G41+G40+G39+G37+G36+G35</f>
        <v>19782500</v>
      </c>
      <c r="H33" s="20">
        <f>+G33/$H$4</f>
        <v>32954.026779675696</v>
      </c>
      <c r="I33" s="10">
        <f>H33</f>
        <v>32954.026779675696</v>
      </c>
      <c r="J33" s="30"/>
      <c r="K33" s="30"/>
    </row>
    <row r="34" spans="1:11" s="3" customFormat="1" ht="10.5">
      <c r="A34" s="11"/>
      <c r="B34" s="19" t="s">
        <v>118</v>
      </c>
      <c r="C34" s="14"/>
      <c r="D34" s="13"/>
      <c r="E34" s="14"/>
      <c r="F34" s="14"/>
      <c r="G34" s="15"/>
      <c r="H34" s="63">
        <f t="shared" ref="H34:H47" si="5">+G34/$H$4</f>
        <v>0</v>
      </c>
      <c r="I34" s="63">
        <f>H34</f>
        <v>0</v>
      </c>
      <c r="J34" s="2"/>
      <c r="K34" s="1"/>
    </row>
    <row r="35" spans="1:11" s="3" customFormat="1" ht="10.5">
      <c r="A35" s="11"/>
      <c r="B35" s="12" t="s">
        <v>119</v>
      </c>
      <c r="C35" s="62">
        <v>6</v>
      </c>
      <c r="D35" s="62">
        <v>15000</v>
      </c>
      <c r="E35" s="62" t="s">
        <v>12</v>
      </c>
      <c r="F35" s="62">
        <v>15</v>
      </c>
      <c r="G35" s="62">
        <f>+C35*D35*F35</f>
        <v>1350000</v>
      </c>
      <c r="H35" s="63">
        <f t="shared" si="5"/>
        <v>2248.8530849266872</v>
      </c>
      <c r="I35" s="63">
        <f t="shared" ref="I35:I45" si="6">H35</f>
        <v>2248.8530849266872</v>
      </c>
      <c r="J35" s="2"/>
      <c r="K35" s="1"/>
    </row>
    <row r="36" spans="1:11" s="3" customFormat="1" ht="10.5">
      <c r="A36" s="11"/>
      <c r="B36" s="12" t="s">
        <v>120</v>
      </c>
      <c r="C36" s="62">
        <v>18</v>
      </c>
      <c r="D36" s="62">
        <v>13000</v>
      </c>
      <c r="E36" s="62" t="s">
        <v>12</v>
      </c>
      <c r="F36" s="62">
        <v>15</v>
      </c>
      <c r="G36" s="62">
        <f>+C36*D36*F36</f>
        <v>3510000</v>
      </c>
      <c r="H36" s="63">
        <f t="shared" si="5"/>
        <v>5847.0180208093871</v>
      </c>
      <c r="I36" s="63">
        <f t="shared" si="6"/>
        <v>5847.0180208093871</v>
      </c>
      <c r="J36" s="2"/>
      <c r="K36" s="1"/>
    </row>
    <row r="37" spans="1:11" s="3" customFormat="1" ht="10.5">
      <c r="A37" s="11"/>
      <c r="B37" s="12" t="s">
        <v>121</v>
      </c>
      <c r="C37" s="62">
        <v>4</v>
      </c>
      <c r="D37" s="62">
        <v>8000</v>
      </c>
      <c r="E37" s="62" t="s">
        <v>12</v>
      </c>
      <c r="F37" s="62">
        <v>15</v>
      </c>
      <c r="G37" s="62">
        <f>+C37*D37*F37</f>
        <v>480000</v>
      </c>
      <c r="H37" s="63">
        <f>+G37/$H$4</f>
        <v>799.59220797393323</v>
      </c>
      <c r="I37" s="63">
        <f>H37</f>
        <v>799.59220797393323</v>
      </c>
      <c r="J37" s="2"/>
      <c r="K37" s="1"/>
    </row>
    <row r="38" spans="1:11" s="3" customFormat="1" ht="10.5">
      <c r="A38" s="11"/>
      <c r="B38" s="19" t="s">
        <v>122</v>
      </c>
      <c r="C38" s="62"/>
      <c r="D38" s="62"/>
      <c r="E38" s="62"/>
      <c r="F38" s="62"/>
      <c r="G38" s="62"/>
      <c r="H38" s="63">
        <f t="shared" si="5"/>
        <v>0</v>
      </c>
      <c r="I38" s="63">
        <f t="shared" si="6"/>
        <v>0</v>
      </c>
      <c r="J38" s="2"/>
      <c r="K38" s="1"/>
    </row>
    <row r="39" spans="1:11" s="3" customFormat="1" ht="10.5">
      <c r="A39" s="11"/>
      <c r="B39" s="12" t="s">
        <v>123</v>
      </c>
      <c r="C39" s="62">
        <v>5</v>
      </c>
      <c r="D39" s="62">
        <v>20000</v>
      </c>
      <c r="E39" s="62" t="s">
        <v>12</v>
      </c>
      <c r="F39" s="62">
        <v>10</v>
      </c>
      <c r="G39" s="62">
        <f>+C39*D39*F39</f>
        <v>1000000</v>
      </c>
      <c r="H39" s="63">
        <f>+G39/$H$4</f>
        <v>1665.8170999456943</v>
      </c>
      <c r="I39" s="63">
        <f>H39</f>
        <v>1665.8170999456943</v>
      </c>
      <c r="J39" s="2"/>
      <c r="K39" s="1"/>
    </row>
    <row r="40" spans="1:11">
      <c r="A40" s="11"/>
      <c r="B40" s="12" t="s">
        <v>124</v>
      </c>
      <c r="C40" s="62">
        <v>5</v>
      </c>
      <c r="D40" s="62">
        <v>2500</v>
      </c>
      <c r="E40" s="62" t="s">
        <v>12</v>
      </c>
      <c r="F40" s="62">
        <v>15</v>
      </c>
      <c r="G40" s="62">
        <f>+C40*D40*F40</f>
        <v>187500</v>
      </c>
      <c r="H40" s="63">
        <f t="shared" si="5"/>
        <v>312.34070623981768</v>
      </c>
      <c r="I40" s="63">
        <f t="shared" si="6"/>
        <v>312.34070623981768</v>
      </c>
      <c r="J40" s="2"/>
      <c r="K40" s="54"/>
    </row>
    <row r="41" spans="1:11">
      <c r="A41" s="11"/>
      <c r="B41" s="12" t="s">
        <v>125</v>
      </c>
      <c r="C41" s="62">
        <v>5</v>
      </c>
      <c r="D41" s="62">
        <v>5000</v>
      </c>
      <c r="E41" s="62" t="s">
        <v>12</v>
      </c>
      <c r="F41" s="62">
        <v>15</v>
      </c>
      <c r="G41" s="62">
        <f>+C41*D41*F41</f>
        <v>375000</v>
      </c>
      <c r="H41" s="63">
        <f t="shared" si="5"/>
        <v>624.68141247963536</v>
      </c>
      <c r="I41" s="63">
        <f t="shared" si="6"/>
        <v>624.68141247963536</v>
      </c>
      <c r="J41" s="2"/>
      <c r="K41" s="54"/>
    </row>
    <row r="42" spans="1:11">
      <c r="A42" s="11"/>
      <c r="B42" s="12" t="s">
        <v>126</v>
      </c>
      <c r="C42" s="62">
        <v>8</v>
      </c>
      <c r="D42" s="62">
        <v>70000</v>
      </c>
      <c r="E42" s="62"/>
      <c r="F42" s="62">
        <v>15</v>
      </c>
      <c r="G42" s="62">
        <f>+C42*D42*F42</f>
        <v>8400000</v>
      </c>
      <c r="H42" s="63">
        <f t="shared" si="5"/>
        <v>13992.863639543832</v>
      </c>
      <c r="I42" s="63">
        <f t="shared" si="6"/>
        <v>13992.863639543832</v>
      </c>
      <c r="J42" s="2"/>
      <c r="K42" s="54"/>
    </row>
    <row r="43" spans="1:11">
      <c r="A43" s="11"/>
      <c r="B43" s="12" t="s">
        <v>55</v>
      </c>
      <c r="C43" s="62">
        <v>10</v>
      </c>
      <c r="D43" s="62">
        <v>50000</v>
      </c>
      <c r="E43" s="62" t="s">
        <v>12</v>
      </c>
      <c r="F43" s="62">
        <v>2</v>
      </c>
      <c r="G43" s="62">
        <f>C43*D43*F43</f>
        <v>1000000</v>
      </c>
      <c r="H43" s="63">
        <f t="shared" si="5"/>
        <v>1665.8170999456943</v>
      </c>
      <c r="I43" s="63">
        <f t="shared" si="6"/>
        <v>1665.8170999456943</v>
      </c>
      <c r="J43" s="2"/>
      <c r="K43" s="54"/>
    </row>
    <row r="44" spans="1:11" s="3" customFormat="1" ht="10.5">
      <c r="A44" s="28"/>
      <c r="B44" s="12" t="s">
        <v>127</v>
      </c>
      <c r="C44" s="62">
        <v>1</v>
      </c>
      <c r="D44" s="62">
        <v>870</v>
      </c>
      <c r="E44" s="62" t="s">
        <v>128</v>
      </c>
      <c r="F44" s="62">
        <v>4000</v>
      </c>
      <c r="G44" s="62">
        <f>C44*D44*F44</f>
        <v>3480000</v>
      </c>
      <c r="H44" s="63">
        <f>+G44/$H$4</f>
        <v>5797.0435078110158</v>
      </c>
      <c r="I44" s="63">
        <f t="shared" si="6"/>
        <v>5797.0435078110158</v>
      </c>
      <c r="J44" s="2"/>
      <c r="K44" s="1"/>
    </row>
    <row r="45" spans="1:11" s="3" customFormat="1" ht="10.5">
      <c r="A45" s="5">
        <v>4</v>
      </c>
      <c r="B45" s="29" t="s">
        <v>59</v>
      </c>
      <c r="C45" s="7"/>
      <c r="D45" s="6"/>
      <c r="E45" s="7"/>
      <c r="F45" s="6"/>
      <c r="G45" s="9">
        <f>G47+G46</f>
        <v>23500000</v>
      </c>
      <c r="H45" s="30">
        <f>+G45/$H$4</f>
        <v>39146.701848723817</v>
      </c>
      <c r="I45" s="31">
        <f t="shared" si="6"/>
        <v>39146.701848723817</v>
      </c>
      <c r="J45" s="52">
        <f>SUM(J46:J46)</f>
        <v>0</v>
      </c>
      <c r="K45" s="52">
        <f>SUM(K46:K46)</f>
        <v>0</v>
      </c>
    </row>
    <row r="46" spans="1:11" s="3" customFormat="1" ht="23.25" customHeight="1">
      <c r="A46" s="11"/>
      <c r="B46" s="32" t="s">
        <v>129</v>
      </c>
      <c r="C46" s="62" t="s">
        <v>130</v>
      </c>
      <c r="D46" s="62">
        <v>1000000</v>
      </c>
      <c r="E46" s="65"/>
      <c r="F46" s="65"/>
      <c r="G46" s="62">
        <f>D46</f>
        <v>1000000</v>
      </c>
      <c r="H46" s="63">
        <f t="shared" si="5"/>
        <v>1665.8170999456943</v>
      </c>
      <c r="I46" s="63">
        <f>H46</f>
        <v>1665.8170999456943</v>
      </c>
      <c r="J46" s="2"/>
      <c r="K46" s="1"/>
    </row>
    <row r="47" spans="1:11" s="3" customFormat="1" ht="23.25" customHeight="1">
      <c r="A47" s="11"/>
      <c r="B47" s="32" t="s">
        <v>62</v>
      </c>
      <c r="C47" s="62">
        <v>9</v>
      </c>
      <c r="D47" s="62">
        <v>2500000</v>
      </c>
      <c r="E47" s="65"/>
      <c r="F47" s="65"/>
      <c r="G47" s="62">
        <f>C47*D47</f>
        <v>22500000</v>
      </c>
      <c r="H47" s="63">
        <f t="shared" si="5"/>
        <v>37480.884748778124</v>
      </c>
      <c r="I47" s="63">
        <f>H47</f>
        <v>37480.884748778124</v>
      </c>
      <c r="J47" s="2"/>
      <c r="K47" s="1"/>
    </row>
    <row r="48" spans="1:11">
      <c r="A48" s="5">
        <v>5</v>
      </c>
      <c r="B48" s="6" t="s">
        <v>63</v>
      </c>
      <c r="C48" s="7"/>
      <c r="D48" s="7"/>
      <c r="E48" s="7"/>
      <c r="F48" s="7"/>
      <c r="G48" s="9">
        <f>G52+G51+G50+G49</f>
        <v>4125000</v>
      </c>
      <c r="H48" s="33">
        <f>+G48/$H$4</f>
        <v>6871.4955372759887</v>
      </c>
      <c r="I48" s="34"/>
      <c r="J48" s="33">
        <f>J52+J51+J50+J49</f>
        <v>6871.4955372759887</v>
      </c>
      <c r="K48" s="33"/>
    </row>
    <row r="49" spans="1:11" s="3" customFormat="1" ht="31.5">
      <c r="A49" s="11"/>
      <c r="B49" s="32" t="s">
        <v>131</v>
      </c>
      <c r="C49" s="62">
        <v>1</v>
      </c>
      <c r="D49" s="62">
        <v>125000</v>
      </c>
      <c r="E49" s="62" t="s">
        <v>132</v>
      </c>
      <c r="F49" s="62">
        <v>10</v>
      </c>
      <c r="G49" s="62">
        <f>C49*D49*F49</f>
        <v>1250000</v>
      </c>
      <c r="H49" s="63">
        <f>+G49/$H$4</f>
        <v>2082.2713749321179</v>
      </c>
      <c r="I49" s="16"/>
      <c r="J49" s="63">
        <f t="shared" ref="J49:J52" si="7">H49</f>
        <v>2082.2713749321179</v>
      </c>
      <c r="K49" s="1"/>
    </row>
    <row r="50" spans="1:11" s="3" customFormat="1" ht="10.5">
      <c r="A50" s="11"/>
      <c r="B50" s="12" t="s">
        <v>133</v>
      </c>
      <c r="C50" s="62">
        <v>1</v>
      </c>
      <c r="D50" s="62">
        <v>350000</v>
      </c>
      <c r="E50" s="62"/>
      <c r="F50" s="62"/>
      <c r="G50" s="62">
        <f>C50*D50</f>
        <v>350000</v>
      </c>
      <c r="H50" s="63">
        <f t="shared" ref="H50:H57" si="8">+G50/$H$4</f>
        <v>583.03598498099302</v>
      </c>
      <c r="I50" s="16"/>
      <c r="J50" s="63">
        <f t="shared" si="7"/>
        <v>583.03598498099302</v>
      </c>
      <c r="K50" s="1"/>
    </row>
    <row r="51" spans="1:11">
      <c r="A51" s="11"/>
      <c r="B51" s="12" t="s">
        <v>134</v>
      </c>
      <c r="C51" s="62">
        <v>1</v>
      </c>
      <c r="D51" s="62">
        <v>125000</v>
      </c>
      <c r="E51" s="62" t="s">
        <v>12</v>
      </c>
      <c r="F51" s="62">
        <v>15</v>
      </c>
      <c r="G51" s="62">
        <f>C51*D51*F51</f>
        <v>1875000</v>
      </c>
      <c r="H51" s="63">
        <f t="shared" si="8"/>
        <v>3123.4070623981765</v>
      </c>
      <c r="I51" s="1"/>
      <c r="J51" s="63">
        <f t="shared" si="7"/>
        <v>3123.4070623981765</v>
      </c>
      <c r="K51" s="54"/>
    </row>
    <row r="52" spans="1:11" s="3" customFormat="1" ht="10.5">
      <c r="A52" s="11"/>
      <c r="B52" s="12" t="s">
        <v>135</v>
      </c>
      <c r="C52" s="62">
        <v>1</v>
      </c>
      <c r="D52" s="62">
        <v>650000</v>
      </c>
      <c r="E52" s="62"/>
      <c r="F52" s="62"/>
      <c r="G52" s="62">
        <f>C52*D52</f>
        <v>650000</v>
      </c>
      <c r="H52" s="63">
        <f t="shared" si="8"/>
        <v>1082.7811149647014</v>
      </c>
      <c r="I52" s="1"/>
      <c r="J52" s="63">
        <f t="shared" si="7"/>
        <v>1082.7811149647014</v>
      </c>
      <c r="K52" s="1"/>
    </row>
    <row r="53" spans="1:11" s="3" customFormat="1" ht="10.5">
      <c r="A53" s="5">
        <v>6</v>
      </c>
      <c r="B53" s="6" t="s">
        <v>70</v>
      </c>
      <c r="C53" s="7"/>
      <c r="D53" s="8"/>
      <c r="E53" s="7"/>
      <c r="F53" s="7"/>
      <c r="G53" s="9">
        <f>SUM(G54:G57)</f>
        <v>1600000</v>
      </c>
      <c r="H53" s="20">
        <f>+G53/$H$4</f>
        <v>2665.3073599131108</v>
      </c>
      <c r="I53" s="20">
        <f>H53</f>
        <v>2665.3073599131108</v>
      </c>
      <c r="J53" s="35"/>
      <c r="K53" s="35"/>
    </row>
    <row r="54" spans="1:11" s="3" customFormat="1" ht="10.5">
      <c r="A54" s="11"/>
      <c r="B54" s="12" t="s">
        <v>136</v>
      </c>
      <c r="C54" s="62">
        <v>50</v>
      </c>
      <c r="D54" s="62">
        <v>6000</v>
      </c>
      <c r="E54" s="62" t="s">
        <v>12</v>
      </c>
      <c r="F54" s="62">
        <v>1</v>
      </c>
      <c r="G54" s="62">
        <f>+C54*D54*F54</f>
        <v>300000</v>
      </c>
      <c r="H54" s="63">
        <f t="shared" si="8"/>
        <v>499.7451299837083</v>
      </c>
      <c r="I54" s="63">
        <f>H54</f>
        <v>499.7451299837083</v>
      </c>
      <c r="J54" s="2"/>
      <c r="K54" s="1"/>
    </row>
    <row r="55" spans="1:11" s="3" customFormat="1" ht="10.5">
      <c r="A55" s="11"/>
      <c r="B55" s="12" t="s">
        <v>137</v>
      </c>
      <c r="C55" s="62">
        <v>50</v>
      </c>
      <c r="D55" s="62">
        <v>17000</v>
      </c>
      <c r="E55" s="62" t="s">
        <v>12</v>
      </c>
      <c r="F55" s="62">
        <v>1</v>
      </c>
      <c r="G55" s="62">
        <f>+C55*D55*F55</f>
        <v>850000</v>
      </c>
      <c r="H55" s="63">
        <f t="shared" si="8"/>
        <v>1415.94453495384</v>
      </c>
      <c r="I55" s="63">
        <f>H55</f>
        <v>1415.94453495384</v>
      </c>
      <c r="J55" s="2"/>
      <c r="K55" s="1"/>
    </row>
    <row r="56" spans="1:11" s="3" customFormat="1" ht="10.5">
      <c r="A56" s="11"/>
      <c r="B56" s="12" t="s">
        <v>73</v>
      </c>
      <c r="C56" s="62">
        <v>1</v>
      </c>
      <c r="D56" s="62">
        <v>350000</v>
      </c>
      <c r="E56" s="62" t="s">
        <v>12</v>
      </c>
      <c r="F56" s="62">
        <v>1</v>
      </c>
      <c r="G56" s="62">
        <f>+C56*D56*F56</f>
        <v>350000</v>
      </c>
      <c r="H56" s="63">
        <f t="shared" si="8"/>
        <v>583.03598498099302</v>
      </c>
      <c r="I56" s="63">
        <f>H56</f>
        <v>583.03598498099302</v>
      </c>
      <c r="J56" s="2"/>
      <c r="K56" s="1"/>
    </row>
    <row r="57" spans="1:11" s="3" customFormat="1" ht="10.5">
      <c r="A57" s="11"/>
      <c r="B57" s="12" t="s">
        <v>74</v>
      </c>
      <c r="C57" s="62">
        <v>5</v>
      </c>
      <c r="D57" s="62">
        <v>20000</v>
      </c>
      <c r="E57" s="62" t="s">
        <v>12</v>
      </c>
      <c r="F57" s="62">
        <v>1</v>
      </c>
      <c r="G57" s="62">
        <f>+C57*D57*F57</f>
        <v>100000</v>
      </c>
      <c r="H57" s="63">
        <f t="shared" si="8"/>
        <v>166.58170999456942</v>
      </c>
      <c r="I57" s="63">
        <f>H57</f>
        <v>166.58170999456942</v>
      </c>
      <c r="J57" s="2"/>
      <c r="K57" s="1"/>
    </row>
    <row r="58" spans="1:11" s="3" customFormat="1" ht="10.5">
      <c r="A58" s="5" t="s">
        <v>75</v>
      </c>
      <c r="B58" s="6" t="s">
        <v>76</v>
      </c>
      <c r="C58" s="7"/>
      <c r="D58" s="8"/>
      <c r="E58" s="7"/>
      <c r="F58" s="7"/>
      <c r="G58" s="9">
        <f>G7+G16+G33+G45+G48+G53</f>
        <v>53867800</v>
      </c>
      <c r="H58" s="20">
        <f>H7+H16+H33+H45+H53+H48</f>
        <v>89733.902376454673</v>
      </c>
      <c r="I58" s="20">
        <f>I53+I48+I45++I33+I16+I7</f>
        <v>82862.406839178686</v>
      </c>
      <c r="J58" s="35">
        <f>J48</f>
        <v>6871.4955372759887</v>
      </c>
      <c r="K58" s="35"/>
    </row>
    <row r="59" spans="1:11" s="3" customFormat="1" ht="10.5">
      <c r="A59" s="5" t="s">
        <v>77</v>
      </c>
      <c r="B59" s="6" t="s">
        <v>138</v>
      </c>
      <c r="C59" s="7"/>
      <c r="D59" s="8"/>
      <c r="E59" s="7"/>
      <c r="F59" s="7"/>
      <c r="G59" s="9">
        <f>G58/10</f>
        <v>5386780</v>
      </c>
      <c r="H59" s="20">
        <f>+G59/$H$4</f>
        <v>8973.3902376454662</v>
      </c>
      <c r="I59" s="20">
        <f>H59</f>
        <v>8973.3902376454662</v>
      </c>
      <c r="J59" s="35"/>
      <c r="K59" s="35"/>
    </row>
    <row r="60" spans="1:11" ht="15" thickBot="1">
      <c r="A60" s="36"/>
      <c r="B60" s="37" t="s">
        <v>79</v>
      </c>
      <c r="C60" s="38"/>
      <c r="D60" s="39"/>
      <c r="E60" s="38"/>
      <c r="F60" s="38"/>
      <c r="G60" s="40">
        <f>G58+G59</f>
        <v>59254580</v>
      </c>
      <c r="H60" s="50">
        <f>H58+H59</f>
        <v>98707.292614100137</v>
      </c>
      <c r="I60" s="50">
        <f>I58+I59</f>
        <v>91835.79707682415</v>
      </c>
      <c r="J60" s="53">
        <f>J48</f>
        <v>6871.4955372759887</v>
      </c>
      <c r="K60" s="53"/>
    </row>
    <row r="61" spans="1:11">
      <c r="A61" s="42"/>
      <c r="B61" s="43"/>
      <c r="C61" s="43"/>
      <c r="D61" s="43"/>
      <c r="E61" s="43"/>
      <c r="F61" s="43"/>
      <c r="G61" s="43"/>
      <c r="H61" s="41"/>
    </row>
    <row r="62" spans="1:11" ht="16.5" customHeight="1">
      <c r="A62" s="42"/>
      <c r="B62" s="59" t="s">
        <v>139</v>
      </c>
      <c r="C62" s="59" t="s">
        <v>140</v>
      </c>
      <c r="D62" s="55"/>
      <c r="E62" s="43"/>
      <c r="F62" t="s">
        <v>141</v>
      </c>
    </row>
    <row r="63" spans="1:11" ht="16.5" customHeight="1">
      <c r="A63" s="42"/>
      <c r="B63" s="57" t="s">
        <v>142</v>
      </c>
      <c r="C63" s="58"/>
      <c r="E63" s="43"/>
      <c r="F63" s="212" t="s">
        <v>143</v>
      </c>
      <c r="G63" s="213"/>
      <c r="H63" s="214"/>
      <c r="I63" s="56">
        <f>I60</f>
        <v>91835.79707682415</v>
      </c>
    </row>
    <row r="64" spans="1:11" ht="16.5" customHeight="1">
      <c r="A64" s="42"/>
      <c r="B64" s="57" t="s">
        <v>144</v>
      </c>
      <c r="C64" s="58"/>
      <c r="E64" s="43"/>
      <c r="F64" s="212" t="s">
        <v>145</v>
      </c>
      <c r="G64" s="213"/>
      <c r="H64" s="214"/>
      <c r="I64" s="56">
        <f>J60</f>
        <v>6871.4955372759887</v>
      </c>
    </row>
    <row r="65" spans="1:10" ht="16.5" customHeight="1">
      <c r="A65" s="42"/>
      <c r="B65" s="60" t="s">
        <v>146</v>
      </c>
      <c r="C65" s="61"/>
      <c r="F65" s="212" t="s">
        <v>147</v>
      </c>
      <c r="G65" s="213"/>
      <c r="H65" s="214"/>
      <c r="I65" s="49">
        <f>I63+I64</f>
        <v>98707.292614100137</v>
      </c>
    </row>
    <row r="67" spans="1:10">
      <c r="A67" s="3"/>
      <c r="B67" s="3"/>
      <c r="C67" s="3"/>
      <c r="D67" s="3"/>
      <c r="E67" s="3"/>
      <c r="F67" s="3"/>
      <c r="G67" s="3"/>
      <c r="H67" s="3"/>
      <c r="I67" s="3"/>
      <c r="J67" s="3"/>
    </row>
    <row r="68" spans="1:10" ht="27.6">
      <c r="A68" s="3"/>
      <c r="B68" s="44"/>
      <c r="C68" s="3"/>
      <c r="D68" s="3"/>
      <c r="E68" s="3"/>
      <c r="F68" s="3"/>
      <c r="G68" s="3"/>
      <c r="H68" s="3"/>
      <c r="I68" s="45"/>
      <c r="J68" s="3"/>
    </row>
    <row r="69" spans="1:10">
      <c r="A69" s="3"/>
      <c r="B69" s="3"/>
      <c r="C69" s="3"/>
      <c r="D69" s="3"/>
      <c r="E69" s="3"/>
      <c r="F69" s="3"/>
      <c r="G69" s="3"/>
      <c r="H69" s="3"/>
      <c r="I69" s="3"/>
      <c r="J69" s="3"/>
    </row>
    <row r="70" spans="1:10">
      <c r="A70" s="3"/>
      <c r="B70" s="3"/>
      <c r="C70" s="3"/>
      <c r="D70" s="3"/>
      <c r="E70" s="3"/>
      <c r="F70" s="3"/>
      <c r="G70" s="3"/>
      <c r="H70" s="3"/>
      <c r="I70" s="3"/>
      <c r="J70" s="3"/>
    </row>
    <row r="71" spans="1:10">
      <c r="A71" s="3"/>
      <c r="B71" s="3"/>
      <c r="C71" s="3"/>
      <c r="D71" s="3"/>
      <c r="E71" s="3"/>
      <c r="F71" s="3"/>
      <c r="G71" s="3"/>
      <c r="H71" s="3"/>
      <c r="I71" s="3"/>
      <c r="J71" s="3"/>
    </row>
    <row r="72" spans="1:10">
      <c r="A72" s="3"/>
      <c r="B72" s="3"/>
      <c r="C72" s="3"/>
      <c r="D72" s="3"/>
      <c r="E72" s="3"/>
      <c r="F72" s="3"/>
      <c r="G72" s="3"/>
      <c r="H72" s="3"/>
      <c r="I72" s="3"/>
      <c r="J72" s="3"/>
    </row>
    <row r="73" spans="1:10">
      <c r="A73" s="3"/>
      <c r="B73" s="3"/>
      <c r="C73" s="3"/>
      <c r="D73" s="3"/>
      <c r="E73" s="3"/>
      <c r="F73" s="3"/>
      <c r="G73" s="3"/>
      <c r="H73" s="3"/>
      <c r="I73" s="3"/>
      <c r="J73" s="3"/>
    </row>
    <row r="80" spans="1:10">
      <c r="A80" s="46"/>
      <c r="B80" s="47"/>
      <c r="C80" s="47"/>
      <c r="D80" s="47"/>
      <c r="E80" s="47"/>
      <c r="F80" s="47"/>
      <c r="G80" s="47"/>
    </row>
  </sheetData>
  <mergeCells count="16">
    <mergeCell ref="F63:H63"/>
    <mergeCell ref="F64:H64"/>
    <mergeCell ref="F65:H65"/>
    <mergeCell ref="A1:B3"/>
    <mergeCell ref="C4:G4"/>
    <mergeCell ref="C1:K3"/>
    <mergeCell ref="K4:K6"/>
    <mergeCell ref="I4:I6"/>
    <mergeCell ref="J4:J6"/>
    <mergeCell ref="A5:A6"/>
    <mergeCell ref="B5:B6"/>
    <mergeCell ref="C5:C6"/>
    <mergeCell ref="D5:D6"/>
    <mergeCell ref="E5:F5"/>
    <mergeCell ref="G5:G6"/>
    <mergeCell ref="H5:H6"/>
  </mergeCells>
  <pageMargins left="0.7" right="0.7" top="0.75" bottom="0.75" header="0.3" footer="0.3"/>
  <pageSetup scale="72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0"/>
  <sheetViews>
    <sheetView zoomScaleNormal="100" workbookViewId="0">
      <selection activeCell="C18" sqref="C18"/>
    </sheetView>
  </sheetViews>
  <sheetFormatPr defaultColWidth="11.42578125" defaultRowHeight="14.45"/>
  <cols>
    <col min="1" max="6" width="20.5703125" customWidth="1"/>
  </cols>
  <sheetData>
    <row r="1" spans="1:9">
      <c r="A1" s="239" t="s">
        <v>148</v>
      </c>
      <c r="B1" s="239"/>
      <c r="C1" s="239"/>
      <c r="D1" s="66"/>
      <c r="E1" s="66"/>
      <c r="F1" s="66"/>
    </row>
    <row r="3" spans="1:9" ht="29.1">
      <c r="A3" s="67"/>
      <c r="B3" s="67" t="s">
        <v>149</v>
      </c>
      <c r="C3" s="67" t="s">
        <v>150</v>
      </c>
      <c r="D3" s="67" t="s">
        <v>151</v>
      </c>
      <c r="E3" s="67" t="s">
        <v>152</v>
      </c>
      <c r="F3" s="68" t="s">
        <v>153</v>
      </c>
      <c r="H3" t="s">
        <v>154</v>
      </c>
      <c r="I3" s="69" t="s">
        <v>155</v>
      </c>
    </row>
    <row r="4" spans="1:9">
      <c r="A4" s="70" t="s">
        <v>156</v>
      </c>
      <c r="B4" s="70">
        <v>68</v>
      </c>
      <c r="C4" s="70">
        <v>4</v>
      </c>
      <c r="D4" s="70">
        <f>B4*C4</f>
        <v>272</v>
      </c>
      <c r="E4" s="70">
        <v>2737</v>
      </c>
      <c r="F4" s="71">
        <f>E4/D4+3</f>
        <v>13.0625</v>
      </c>
      <c r="H4" t="s">
        <v>157</v>
      </c>
      <c r="I4">
        <v>24</v>
      </c>
    </row>
    <row r="5" spans="1:9">
      <c r="A5" s="70" t="s">
        <v>158</v>
      </c>
      <c r="B5" s="70">
        <v>68</v>
      </c>
      <c r="C5" s="70">
        <v>6</v>
      </c>
      <c r="D5" s="70">
        <f>B5*C5</f>
        <v>408</v>
      </c>
      <c r="E5" s="70">
        <v>2737</v>
      </c>
      <c r="F5" s="71">
        <f>E5/D5+3</f>
        <v>9.7083333333333321</v>
      </c>
      <c r="H5" t="s">
        <v>159</v>
      </c>
      <c r="I5">
        <v>8</v>
      </c>
    </row>
    <row r="6" spans="1:9">
      <c r="H6" t="s">
        <v>160</v>
      </c>
      <c r="I6">
        <v>8</v>
      </c>
    </row>
    <row r="7" spans="1:9">
      <c r="H7" t="s">
        <v>161</v>
      </c>
      <c r="I7">
        <v>12</v>
      </c>
    </row>
    <row r="8" spans="1:9">
      <c r="H8" t="s">
        <v>162</v>
      </c>
      <c r="I8">
        <v>8</v>
      </c>
    </row>
    <row r="9" spans="1:9" ht="15" thickBot="1">
      <c r="H9" t="s">
        <v>163</v>
      </c>
      <c r="I9">
        <v>8</v>
      </c>
    </row>
    <row r="10" spans="1:9" ht="18.95" thickBot="1">
      <c r="A10" s="72" t="s">
        <v>164</v>
      </c>
      <c r="B10" s="73"/>
      <c r="C10" s="73"/>
      <c r="D10" s="73"/>
      <c r="E10" s="73"/>
      <c r="F10" s="74"/>
      <c r="H10" s="75" t="s">
        <v>165</v>
      </c>
      <c r="I10" s="75">
        <f>SUM(I4:I9)</f>
        <v>68</v>
      </c>
    </row>
  </sheetData>
  <mergeCells count="1">
    <mergeCell ref="A1:C1"/>
  </mergeCells>
  <pageMargins left="0.7" right="0.7" top="0.75" bottom="0.75" header="0.3" footer="0.3"/>
  <pageSetup paperSize="9" scale="83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256dcf-74b5-4e0f-b2ab-e17546be8a80">
      <Terms xmlns="http://schemas.microsoft.com/office/infopath/2007/PartnerControls"/>
    </lcf76f155ced4ddcb4097134ff3c332f>
    <TaxCatchAll xmlns="3940b711-dc1d-4235-b0a5-48d487f0d3b9" xsi:nil="true"/>
    <Notes xmlns="49256dcf-74b5-4e0f-b2ab-e17546be8a8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7EC5AEA005F3944B5281CE0F7F3B6DF" ma:contentTypeVersion="19" ma:contentTypeDescription="Create a new document." ma:contentTypeScope="" ma:versionID="43cac7850c215b99b189dd42ff5381b4">
  <xsd:schema xmlns:xsd="http://www.w3.org/2001/XMLSchema" xmlns:xs="http://www.w3.org/2001/XMLSchema" xmlns:p="http://schemas.microsoft.com/office/2006/metadata/properties" xmlns:ns2="49256dcf-74b5-4e0f-b2ab-e17546be8a80" xmlns:ns3="3940b711-dc1d-4235-b0a5-48d487f0d3b9" targetNamespace="http://schemas.microsoft.com/office/2006/metadata/properties" ma:root="true" ma:fieldsID="7f3b09dd81f609e653ddad0159f4af65" ns2:_="" ns3:_="">
    <xsd:import namespace="49256dcf-74b5-4e0f-b2ab-e17546be8a80"/>
    <xsd:import namespace="3940b711-dc1d-4235-b0a5-48d487f0d3b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Not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256dcf-74b5-4e0f-b2ab-e17546be8a8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5acc4dc2-1d7d-4ba2-9bc5-748c4ad50a6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Notes" ma:index="26" nillable="true" ma:displayName="Notes" ma:description="Describe what this folder should contain" ma:format="Dropdown" ma:internalName="Notes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40b711-dc1d-4235-b0a5-48d487f0d3b9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517c2faf-511a-483c-a677-1ab92e51de83}" ma:internalName="TaxCatchAll" ma:showField="CatchAllData" ma:web="3940b711-dc1d-4235-b0a5-48d487f0d3b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1DB2AB0-8F4C-4CFE-AAE8-C460654E5B40}"/>
</file>

<file path=customXml/itemProps2.xml><?xml version="1.0" encoding="utf-8"?>
<ds:datastoreItem xmlns:ds="http://schemas.openxmlformats.org/officeDocument/2006/customXml" ds:itemID="{B3DD1F79-8074-4660-B4AF-DA388A7EC121}"/>
</file>

<file path=customXml/itemProps3.xml><?xml version="1.0" encoding="utf-8"?>
<ds:datastoreItem xmlns:ds="http://schemas.openxmlformats.org/officeDocument/2006/customXml" ds:itemID="{A1A84D1B-EA0C-4BF3-B684-CA0D14ECA9C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World Food Programme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DMudilo</dc:creator>
  <cp:keywords/>
  <dc:description/>
  <cp:lastModifiedBy>Cassandra WALKER</cp:lastModifiedBy>
  <cp:revision/>
  <dcterms:created xsi:type="dcterms:W3CDTF">2014-07-25T13:43:22Z</dcterms:created>
  <dcterms:modified xsi:type="dcterms:W3CDTF">2023-07-11T15:26:23Z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0x01010007EC5AEA005F3944B5281CE0F7F3B6DF</vt:lpwstr>
  </property>
  <property fmtid="{D5CDD505-2E9C-101B-9397-08002B2CF9AE}" pid="3" name="MediaServiceImageTags">
    <vt:lpwstr/>
  </property>
</Properties>
</file>