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3_CAR/"/>
    </mc:Choice>
  </mc:AlternateContent>
  <xr:revisionPtr revIDLastSave="6" documentId="13_ncr:1_{87377D4B-1A9C-4AA9-A701-3B9C118CEE59}" xr6:coauthVersionLast="47" xr6:coauthVersionMax="47" xr10:uidLastSave="{06873F6D-3F58-4D25-8A45-48BF38972FD8}"/>
  <bookViews>
    <workbookView xWindow="19090" yWindow="-110" windowWidth="19420" windowHeight="10420" xr2:uid="{00000000-000D-0000-FFFF-FFFF00000000}"/>
  </bookViews>
  <sheets>
    <sheet name="Face 2 Face" sheetId="4" r:id="rId1"/>
    <sheet name="Remote" sheetId="5" r:id="rId2"/>
    <sheet name="Budget EFSA 2015" sheetId="1" state="hidden" r:id="rId3"/>
    <sheet name="scenarii" sheetId="2" state="hidden" r:id="rId4"/>
  </sheets>
  <externalReferences>
    <externalReference r:id="rId5"/>
  </externalReferences>
  <definedNames>
    <definedName name="_xlnm.Print_Area" localSheetId="0">'Face 2 Face'!$A$1:$H$65</definedName>
    <definedName name="_xlnm.Print_Area" localSheetId="1">Remote!$A$1:$H$49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5" l="1"/>
  <c r="H43" i="4"/>
  <c r="H55" i="4"/>
  <c r="H54" i="4"/>
  <c r="H53" i="4"/>
  <c r="H52" i="4"/>
  <c r="H51" i="4"/>
  <c r="H50" i="4"/>
  <c r="H49" i="4"/>
  <c r="H48" i="4"/>
  <c r="H47" i="4"/>
  <c r="H46" i="4"/>
  <c r="H45" i="4"/>
  <c r="H44" i="4"/>
  <c r="H42" i="4"/>
  <c r="H41" i="4"/>
  <c r="H40" i="4"/>
  <c r="H39" i="4"/>
  <c r="H38" i="4"/>
  <c r="H37" i="4"/>
  <c r="H36" i="4"/>
  <c r="H35" i="4"/>
  <c r="H33" i="4"/>
  <c r="H32" i="4"/>
  <c r="H31" i="4"/>
  <c r="H30" i="4"/>
  <c r="H29" i="4"/>
  <c r="H28" i="4"/>
  <c r="H27" i="4"/>
  <c r="H26" i="4"/>
  <c r="H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G14" i="5"/>
  <c r="H26" i="5" l="1"/>
  <c r="G25" i="5"/>
  <c r="G35" i="5" l="1"/>
  <c r="C32" i="5"/>
  <c r="G29" i="5"/>
  <c r="H27" i="5"/>
  <c r="H25" i="5"/>
  <c r="G24" i="5"/>
  <c r="H24" i="5" s="1"/>
  <c r="G23" i="5"/>
  <c r="H20" i="5"/>
  <c r="G19" i="5"/>
  <c r="H19" i="5" s="1"/>
  <c r="G18" i="5"/>
  <c r="H18" i="5" s="1"/>
  <c r="G17" i="5"/>
  <c r="H17" i="5" s="1"/>
  <c r="G16" i="5"/>
  <c r="H16" i="5" s="1"/>
  <c r="G15" i="5"/>
  <c r="H13" i="5"/>
  <c r="G12" i="5"/>
  <c r="H12" i="5" s="1"/>
  <c r="G11" i="5"/>
  <c r="H11" i="5" s="1"/>
  <c r="G10" i="5"/>
  <c r="H10" i="5" s="1"/>
  <c r="G9" i="5"/>
  <c r="H9" i="5" s="1"/>
  <c r="G17" i="4"/>
  <c r="G7" i="4"/>
  <c r="G35" i="4"/>
  <c r="G30" i="4"/>
  <c r="G29" i="4"/>
  <c r="G21" i="5" l="1"/>
  <c r="G40" i="5" s="1"/>
  <c r="H8" i="5"/>
  <c r="G7" i="5"/>
  <c r="H23" i="5"/>
  <c r="H14" i="5"/>
  <c r="H15" i="5"/>
  <c r="G41" i="4"/>
  <c r="G34" i="4"/>
  <c r="G14" i="4"/>
  <c r="G12" i="4"/>
  <c r="G11" i="4"/>
  <c r="G10" i="4"/>
  <c r="G9" i="4"/>
  <c r="G8" i="4"/>
  <c r="H34" i="4" l="1"/>
  <c r="G24" i="4"/>
  <c r="H21" i="5"/>
  <c r="H40" i="5"/>
  <c r="H7" i="5"/>
  <c r="G42" i="4"/>
  <c r="H24" i="4" l="1"/>
  <c r="G56" i="4"/>
  <c r="G41" i="5"/>
  <c r="H41" i="5" s="1"/>
  <c r="H42" i="5" s="1"/>
  <c r="G31" i="4"/>
  <c r="G40" i="4"/>
  <c r="G36" i="4"/>
  <c r="H56" i="4" l="1"/>
  <c r="G42" i="5"/>
  <c r="G28" i="4"/>
  <c r="G51" i="4" l="1"/>
  <c r="C48" i="4"/>
  <c r="G45" i="4"/>
  <c r="G37" i="4"/>
  <c r="G33" i="4"/>
  <c r="G27" i="4"/>
  <c r="G26" i="4"/>
  <c r="G22" i="4"/>
  <c r="G21" i="4"/>
  <c r="G20" i="4"/>
  <c r="G19" i="4"/>
  <c r="G18" i="4"/>
  <c r="G15" i="4"/>
  <c r="G57" i="4" l="1"/>
  <c r="H57" i="4" l="1"/>
  <c r="H58" i="4" s="1"/>
  <c r="G58" i="4"/>
  <c r="I10" i="2"/>
  <c r="D5" i="2"/>
  <c r="F5" i="2"/>
  <c r="D4" i="2"/>
  <c r="F4" i="2"/>
  <c r="K45" i="1"/>
  <c r="G47" i="1"/>
  <c r="H47" i="1" s="1"/>
  <c r="I47" i="1" s="1"/>
  <c r="H15" i="1"/>
  <c r="I15" i="1" s="1"/>
  <c r="G51" i="1"/>
  <c r="H51" i="1" s="1"/>
  <c r="J51" i="1" s="1"/>
  <c r="G44" i="1"/>
  <c r="G33" i="1" s="1"/>
  <c r="H33" i="1" s="1"/>
  <c r="I33" i="1" s="1"/>
  <c r="G57" i="1"/>
  <c r="H57" i="1" s="1"/>
  <c r="I57" i="1" s="1"/>
  <c r="G56" i="1"/>
  <c r="H56" i="1" s="1"/>
  <c r="I56" i="1" s="1"/>
  <c r="G55" i="1"/>
  <c r="H55" i="1"/>
  <c r="I55" i="1" s="1"/>
  <c r="G54" i="1"/>
  <c r="H54" i="1" s="1"/>
  <c r="I54" i="1" s="1"/>
  <c r="G52" i="1"/>
  <c r="G50" i="1"/>
  <c r="G48" i="1" s="1"/>
  <c r="H48" i="1" s="1"/>
  <c r="H50" i="1"/>
  <c r="J50" i="1" s="1"/>
  <c r="G49" i="1"/>
  <c r="G46" i="1"/>
  <c r="H46" i="1"/>
  <c r="I46" i="1" s="1"/>
  <c r="J45" i="1"/>
  <c r="G43" i="1"/>
  <c r="H43" i="1"/>
  <c r="I43" i="1" s="1"/>
  <c r="G42" i="1"/>
  <c r="H42" i="1"/>
  <c r="I42" i="1" s="1"/>
  <c r="G41" i="1"/>
  <c r="H41" i="1" s="1"/>
  <c r="I41" i="1" s="1"/>
  <c r="G40" i="1"/>
  <c r="H40" i="1"/>
  <c r="I40" i="1"/>
  <c r="G37" i="1"/>
  <c r="H37" i="1" s="1"/>
  <c r="I37" i="1" s="1"/>
  <c r="G39" i="1"/>
  <c r="H39" i="1" s="1"/>
  <c r="I39" i="1" s="1"/>
  <c r="H38" i="1"/>
  <c r="I38" i="1"/>
  <c r="G36" i="1"/>
  <c r="H36" i="1" s="1"/>
  <c r="I36" i="1" s="1"/>
  <c r="G35" i="1"/>
  <c r="H35" i="1" s="1"/>
  <c r="I35" i="1" s="1"/>
  <c r="H34" i="1"/>
  <c r="I34" i="1"/>
  <c r="G32" i="1"/>
  <c r="H32" i="1" s="1"/>
  <c r="I32" i="1" s="1"/>
  <c r="G31" i="1"/>
  <c r="H31" i="1" s="1"/>
  <c r="I31" i="1" s="1"/>
  <c r="G30" i="1"/>
  <c r="H30" i="1"/>
  <c r="I30" i="1" s="1"/>
  <c r="G29" i="1"/>
  <c r="H29" i="1"/>
  <c r="I29" i="1"/>
  <c r="G28" i="1"/>
  <c r="H28" i="1" s="1"/>
  <c r="I28" i="1" s="1"/>
  <c r="G27" i="1"/>
  <c r="H27" i="1" s="1"/>
  <c r="I27" i="1" s="1"/>
  <c r="G25" i="1"/>
  <c r="G24" i="1"/>
  <c r="H24" i="1" s="1"/>
  <c r="I24" i="1" s="1"/>
  <c r="G23" i="1"/>
  <c r="H23" i="1"/>
  <c r="I23" i="1" s="1"/>
  <c r="G22" i="1"/>
  <c r="H22" i="1"/>
  <c r="I22" i="1"/>
  <c r="G21" i="1"/>
  <c r="H21" i="1" s="1"/>
  <c r="I21" i="1" s="1"/>
  <c r="G20" i="1"/>
  <c r="H20" i="1" s="1"/>
  <c r="I20" i="1" s="1"/>
  <c r="G19" i="1"/>
  <c r="H19" i="1"/>
  <c r="I19" i="1" s="1"/>
  <c r="G18" i="1"/>
  <c r="H18" i="1"/>
  <c r="I18" i="1"/>
  <c r="G14" i="1"/>
  <c r="G13" i="1"/>
  <c r="H13" i="1"/>
  <c r="I13" i="1"/>
  <c r="H12" i="1"/>
  <c r="I12" i="1" s="1"/>
  <c r="G11" i="1"/>
  <c r="H11" i="1"/>
  <c r="I11" i="1" s="1"/>
  <c r="G10" i="1"/>
  <c r="H10" i="1"/>
  <c r="I10" i="1"/>
  <c r="G9" i="1"/>
  <c r="H9" i="1" s="1"/>
  <c r="G8" i="1"/>
  <c r="H8" i="1" s="1"/>
  <c r="I8" i="1" s="1"/>
  <c r="H52" i="1"/>
  <c r="J52" i="1"/>
  <c r="J48" i="1" s="1"/>
  <c r="H25" i="1"/>
  <c r="I25" i="1"/>
  <c r="H14" i="1"/>
  <c r="H44" i="1"/>
  <c r="I44" i="1" s="1"/>
  <c r="G45" i="1"/>
  <c r="H45" i="1" s="1"/>
  <c r="I45" i="1" s="1"/>
  <c r="G53" i="1"/>
  <c r="H49" i="1"/>
  <c r="J49" i="1" s="1"/>
  <c r="I14" i="1"/>
  <c r="H53" i="1"/>
  <c r="I53" i="1" s="1"/>
  <c r="I9" i="1" l="1"/>
  <c r="H7" i="1"/>
  <c r="J60" i="1"/>
  <c r="I64" i="1" s="1"/>
  <c r="J58" i="1"/>
  <c r="G7" i="1"/>
  <c r="G16" i="1"/>
  <c r="H16" i="1" s="1"/>
  <c r="I16" i="1" s="1"/>
  <c r="I7" i="1" l="1"/>
  <c r="I58" i="1" s="1"/>
  <c r="H58" i="1"/>
  <c r="G58" i="1"/>
  <c r="G59" i="1" l="1"/>
  <c r="H59" i="1" s="1"/>
  <c r="I59" i="1" s="1"/>
  <c r="I60" i="1" s="1"/>
  <c r="I63" i="1" s="1"/>
  <c r="I65" i="1" s="1"/>
  <c r="H60" i="1"/>
  <c r="G60" i="1" l="1"/>
</calcChain>
</file>

<file path=xl/sharedStrings.xml><?xml version="1.0" encoding="utf-8"?>
<sst xmlns="http://schemas.openxmlformats.org/spreadsheetml/2006/main" count="282" uniqueCount="154">
  <si>
    <t>Taux de change</t>
  </si>
  <si>
    <t>ODOC</t>
  </si>
  <si>
    <t>DSC</t>
  </si>
  <si>
    <t>Rubriques/Activités</t>
  </si>
  <si>
    <t>Quantité</t>
  </si>
  <si>
    <t>Cout unitaire</t>
  </si>
  <si>
    <t>Durée</t>
  </si>
  <si>
    <t>Coût Total  FCFA</t>
  </si>
  <si>
    <t>Equivalent USD</t>
  </si>
  <si>
    <t>Unité</t>
  </si>
  <si>
    <t>Nombre</t>
  </si>
  <si>
    <t>FORMATION DES AGENTS ENQUETEURS</t>
  </si>
  <si>
    <t>Frais de transport</t>
  </si>
  <si>
    <t>Jour</t>
  </si>
  <si>
    <t>Pause café</t>
  </si>
  <si>
    <t>Pause déjeuner</t>
  </si>
  <si>
    <t>Location de salle pour la formation des enquêteurs</t>
  </si>
  <si>
    <t>Prétest</t>
  </si>
  <si>
    <t>- Location Bus pour le transport des agents sur le site</t>
  </si>
  <si>
    <t>- Carburant pré-test</t>
  </si>
  <si>
    <t>FOURNITURES ET EQUIPEMENTS FONGIBLES</t>
  </si>
  <si>
    <t xml:space="preserve">Consommables </t>
  </si>
  <si>
    <t>Chemises cartonnées</t>
  </si>
  <si>
    <t>Rames de papiers/travaux concept.</t>
  </si>
  <si>
    <t>Piles pour balances électroniques</t>
  </si>
  <si>
    <t>Porte-badges</t>
  </si>
  <si>
    <t>Cahiers de 200 pages</t>
  </si>
  <si>
    <t>Stylos bleus</t>
  </si>
  <si>
    <t>Stylos verts, noirs et rouges</t>
  </si>
  <si>
    <t>Markers</t>
  </si>
  <si>
    <t>Equipements (non consommables_ A restituer après usage)</t>
  </si>
  <si>
    <t>Lampe Torches</t>
  </si>
  <si>
    <t>Lampe rechargeable (Total)</t>
  </si>
  <si>
    <t>Hâche</t>
  </si>
  <si>
    <t>Machettes</t>
  </si>
  <si>
    <t>Pelles carrés</t>
  </si>
  <si>
    <t>Vetêments de pluie</t>
  </si>
  <si>
    <t>COLLECTE DES DONNEES PRIMAIRES (DP)</t>
  </si>
  <si>
    <t>Indemnités des agents de collecte (AC)</t>
  </si>
  <si>
    <t>- Indemnité des chefs d'équipe</t>
  </si>
  <si>
    <t>- Indemnité des Enquêteurs</t>
  </si>
  <si>
    <t xml:space="preserve"> Supervision des opérations </t>
  </si>
  <si>
    <t>- Frais de mission superviseurs</t>
  </si>
  <si>
    <t>Frais de communication</t>
  </si>
  <si>
    <t>Location véhicules pour collecte DP</t>
  </si>
  <si>
    <t>Frais de transport (Vols UNHAS)</t>
  </si>
  <si>
    <t>Carburant (en litres)</t>
  </si>
  <si>
    <t>litres</t>
  </si>
  <si>
    <t>_</t>
  </si>
  <si>
    <t>Jours</t>
  </si>
  <si>
    <t>Billet d'avion ( Aller- retour)</t>
  </si>
  <si>
    <t xml:space="preserve">Appui finalisation du rapport </t>
  </si>
  <si>
    <t>Billet d'avion (aller- retour)</t>
  </si>
  <si>
    <t>Atelier de restitution des résultats préliminaires</t>
  </si>
  <si>
    <t>- Pause café</t>
  </si>
  <si>
    <t>Location salle pour atelier</t>
  </si>
  <si>
    <t>Couverture médiatique (frais de presse) forfait</t>
  </si>
  <si>
    <t>TOTAL GENERAL</t>
  </si>
  <si>
    <t>Contractualisation avec agence spécialisé et technicien du gouvernement  démographe/ Stasticien</t>
  </si>
  <si>
    <t>a</t>
  </si>
  <si>
    <t>b</t>
  </si>
  <si>
    <t>Sous-total</t>
  </si>
  <si>
    <t>TOTAL GENERAL (a+b)</t>
  </si>
  <si>
    <t>Imprevu 10 %</t>
  </si>
  <si>
    <t>- Repas</t>
  </si>
  <si>
    <r>
      <t xml:space="preserve">Budget Prévisionnel- </t>
    </r>
    <r>
      <rPr>
        <b/>
        <sz val="14"/>
        <rFont val="Arial"/>
        <family val="2"/>
      </rPr>
      <t xml:space="preserve">Evaluation  de la situation des populations affectées par la crise en  RCA </t>
    </r>
    <r>
      <rPr>
        <b/>
        <sz val="12"/>
        <rFont val="Arial"/>
        <family val="2"/>
      </rPr>
      <t xml:space="preserve">                                                                                                         (EFSA Sept-octobre 2015)                                                                                                   </t>
    </r>
    <r>
      <rPr>
        <b/>
        <sz val="12"/>
        <color indexed="30"/>
        <rFont val="Arial"/>
        <family val="2"/>
      </rPr>
      <t>(CF01-CF11)</t>
    </r>
  </si>
  <si>
    <t>- Frais de location moto (Bamingui Bangoran)</t>
  </si>
  <si>
    <t>Petite caisse (collage, traversée de pont/bac, etc.)</t>
  </si>
  <si>
    <t>Mission d'appui BR /RDC</t>
  </si>
  <si>
    <t>Partenariat avec le gouvernement/Renforcement de capacité/et Partenaires  ONGs</t>
  </si>
  <si>
    <t>Contractualisation avec les partenaires ONGs membres du cluster SA</t>
  </si>
  <si>
    <t>Appui formation mise en place base de données/serveur ODK/et utilisation des tablettes</t>
  </si>
  <si>
    <t xml:space="preserve">Impression documents </t>
  </si>
  <si>
    <t>Financement</t>
  </si>
  <si>
    <t>FAO</t>
  </si>
  <si>
    <t>PAM</t>
  </si>
  <si>
    <t>Grand Total</t>
  </si>
  <si>
    <t>Montant Total</t>
  </si>
  <si>
    <t>Détails financement PAM</t>
  </si>
  <si>
    <t>FONDS  ODOC</t>
  </si>
  <si>
    <t>FONDS  DSC</t>
  </si>
  <si>
    <t>Observations    /   Contributions</t>
  </si>
  <si>
    <t>Scenarii possibles</t>
  </si>
  <si>
    <t>Nbre d'enqueteurs</t>
  </si>
  <si>
    <t>Nbre de ménages  par Enqueteurs/jour</t>
  </si>
  <si>
    <t>Nbre total des fiches à remplir par jour</t>
  </si>
  <si>
    <t>Besoins totaux</t>
  </si>
  <si>
    <t>Nbre jours sur terrain</t>
  </si>
  <si>
    <t xml:space="preserve">Organsation </t>
  </si>
  <si>
    <t>Nbre</t>
  </si>
  <si>
    <t>Scenario 1</t>
  </si>
  <si>
    <t>ICASEES</t>
  </si>
  <si>
    <t>Scenario 2</t>
  </si>
  <si>
    <t>IEDA</t>
  </si>
  <si>
    <t>ACF</t>
  </si>
  <si>
    <t>ACTED</t>
  </si>
  <si>
    <t>TRIANGLE</t>
  </si>
  <si>
    <t>CRS</t>
  </si>
  <si>
    <t xml:space="preserve"> En tout, 68  enqêteurs dont 24 de l'ICASEES pour en moyenne 12 jours  de collecte des données sur terrain.</t>
  </si>
  <si>
    <t>Total</t>
  </si>
  <si>
    <t>Carburant pré-test</t>
  </si>
  <si>
    <t>Formation des agents de terrain &amp; Pré-Test (5 jours) - Restauration &amp; Transport pré-test</t>
  </si>
  <si>
    <t>Salaire consultant ou Rémunération TDYers</t>
  </si>
  <si>
    <t>Appui dans la rédaction du rapport</t>
  </si>
  <si>
    <t>Rapport (publication/ édition)</t>
  </si>
  <si>
    <t xml:space="preserve">Résumé sommaire &amp; dépliants (publication) </t>
  </si>
  <si>
    <t>copies</t>
  </si>
  <si>
    <t>Contractualisation avec agence spécialisé et technicien du gouvernement  démographe/ Stasticien (ICASEES)</t>
  </si>
  <si>
    <t>Achat de clé USB pour le partage au gouvernement</t>
  </si>
  <si>
    <t>Petite caisse ( collage, traversée de pont/bac, etc…)</t>
  </si>
  <si>
    <t>jours</t>
  </si>
  <si>
    <t>Carburant (en litre)</t>
  </si>
  <si>
    <t>Repas</t>
  </si>
  <si>
    <t>Kms</t>
  </si>
  <si>
    <t>Collecte &amp; Supervision de la collecte</t>
  </si>
  <si>
    <t>Bloc notes</t>
  </si>
  <si>
    <t>Petite caisse pour les notables du village(Pré-test)</t>
  </si>
  <si>
    <t>Pause café matin</t>
  </si>
  <si>
    <t>Marqueurs</t>
  </si>
  <si>
    <t xml:space="preserve">Location de la salle pour la formation </t>
  </si>
  <si>
    <t>Bouteille d'eau</t>
  </si>
  <si>
    <t>Flit charps</t>
  </si>
  <si>
    <t>Frais de location moto</t>
  </si>
  <si>
    <t>Frais de communication(Enquêteurs et Chefs d'équipe)</t>
  </si>
  <si>
    <t>Frais de mission superviseurs(partie gouv)</t>
  </si>
  <si>
    <t>Frais de Communication superviseurs(partie gouv)</t>
  </si>
  <si>
    <t>Matériel de prévention Supervision(boite à pharmacie, etc…)</t>
  </si>
  <si>
    <t>Frais de mission enqueteurs (partie gouv)</t>
  </si>
  <si>
    <t>Frais de mission Chefs d'équipe(partie gouv)</t>
  </si>
  <si>
    <t>Petite caisse Supervision(Partie gouv)</t>
  </si>
  <si>
    <t>Location de véhicule(Collecte des données)</t>
  </si>
  <si>
    <t>Location de véhicule(Supervision)</t>
  </si>
  <si>
    <t>Imprevu 5 %</t>
  </si>
  <si>
    <t>Visibilité(Tee-Shirts)+ Fanion</t>
  </si>
  <si>
    <t>Matériel de prévention equipes (boite à pharmacie, etc…)</t>
  </si>
  <si>
    <t>Cedit Data connexion</t>
  </si>
  <si>
    <t>Frais de transport(Vols UNHAS)</t>
  </si>
  <si>
    <t xml:space="preserve">Budget Prévisionnel-Etude rCARI                                                                                                 </t>
  </si>
  <si>
    <r>
      <t xml:space="preserve">Transport de 16 personnes sur le lieu du pré-test (2 véhicules </t>
    </r>
    <r>
      <rPr>
        <sz val="11"/>
        <rFont val="Calibri"/>
        <family val="2"/>
        <scheme val="minor"/>
      </rPr>
      <t>de 15 places)</t>
    </r>
  </si>
  <si>
    <t>Frais des accompagnants  (50villages/quartier)</t>
  </si>
  <si>
    <t xml:space="preserve">Préparé par:
</t>
  </si>
  <si>
    <t xml:space="preserve">Certifié par:
</t>
  </si>
  <si>
    <t xml:space="preserve">Certification Unité des Finances: 
</t>
  </si>
  <si>
    <r>
      <rPr>
        <u/>
        <sz val="12"/>
        <rFont val="Calibri Light"/>
        <family val="2"/>
        <scheme val="major"/>
      </rPr>
      <t>Validé par:</t>
    </r>
    <r>
      <rPr>
        <b/>
        <u/>
        <sz val="12"/>
        <rFont val="Calibri Light"/>
        <family val="2"/>
        <scheme val="major"/>
      </rPr>
      <t xml:space="preserve">
</t>
    </r>
  </si>
  <si>
    <r>
      <rPr>
        <u/>
        <sz val="12"/>
        <rFont val="Calibri Light"/>
        <family val="2"/>
        <scheme val="major"/>
      </rPr>
      <t>Approuvé:</t>
    </r>
    <r>
      <rPr>
        <b/>
        <sz val="12"/>
        <rFont val="Calibri Light"/>
        <family val="2"/>
        <scheme val="major"/>
      </rPr>
      <t xml:space="preserve">                                          
</t>
    </r>
  </si>
  <si>
    <t>Formation des agents de terrain  (5 jours)                                        Restauration &amp; Transport Pré-test</t>
  </si>
  <si>
    <t>Contractualisation avec l'ICASEES (Institut National de Statistique)</t>
  </si>
  <si>
    <t>COLLECTE DES DONNEES SUR LE TERRAIN</t>
  </si>
  <si>
    <t>Déploiement des enquêteurs (Collecte &amp; Supervision)</t>
  </si>
  <si>
    <t>Partenariat avec le gouvernement/Renforcement de capacités</t>
  </si>
  <si>
    <t xml:space="preserve">COLLECTE DES DONNEES A DISTANCE </t>
  </si>
  <si>
    <t>Frais de communication (crédit téléphonique)</t>
  </si>
  <si>
    <t xml:space="preserve">Frais ou perdiems enqueteurs </t>
  </si>
  <si>
    <t>Collation (café et amuse-bouche)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</si>
</sst>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  <numFmt numFmtId="168" formatCode="&quot;$&quot;#,##0"/>
    <numFmt numFmtId="169" formatCode="[$$-45C]#,##0;\-[$$-45C]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3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name val="Calibri"/>
      <family val="2"/>
      <scheme val="minor"/>
    </font>
    <font>
      <sz val="16"/>
      <name val="Aharoni"/>
    </font>
    <font>
      <b/>
      <sz val="12"/>
      <name val="Calibri"/>
      <family val="2"/>
      <scheme val="minor"/>
    </font>
    <font>
      <sz val="22"/>
      <color rgb="FFFF0000"/>
      <name val="Arial"/>
      <family val="2"/>
    </font>
    <font>
      <sz val="18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name val="Aharoni"/>
    </font>
    <font>
      <sz val="8"/>
      <name val="Calibri Light"/>
      <family val="2"/>
      <scheme val="major"/>
    </font>
    <font>
      <sz val="14"/>
      <color rgb="FFFF0000"/>
      <name val="Calibri"/>
      <family val="2"/>
      <scheme val="minor"/>
    </font>
    <font>
      <i/>
      <sz val="8"/>
      <name val="Arial"/>
      <family val="2"/>
    </font>
    <font>
      <u/>
      <sz val="12"/>
      <name val="Calibri Light"/>
      <family val="2"/>
      <scheme val="major"/>
    </font>
    <font>
      <b/>
      <sz val="18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167" fontId="8" fillId="3" borderId="4" xfId="0" applyNumberFormat="1" applyFont="1" applyFill="1" applyBorder="1" applyAlignment="1">
      <alignment horizontal="center" vertical="center"/>
    </xf>
    <xf numFmtId="168" fontId="8" fillId="3" borderId="4" xfId="2" applyNumberFormat="1" applyFont="1" applyFill="1" applyBorder="1" applyAlignment="1">
      <alignment horizontal="right"/>
    </xf>
    <xf numFmtId="0" fontId="10" fillId="2" borderId="10" xfId="0" applyFont="1" applyFill="1" applyBorder="1" applyAlignment="1">
      <alignment horizontal="center" vertical="top"/>
    </xf>
    <xf numFmtId="49" fontId="10" fillId="2" borderId="4" xfId="0" applyNumberFormat="1" applyFont="1" applyFill="1" applyBorder="1" applyAlignment="1">
      <alignment vertical="top"/>
    </xf>
    <xf numFmtId="3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7" fontId="10" fillId="2" borderId="4" xfId="1" applyNumberFormat="1" applyFont="1" applyFill="1" applyBorder="1" applyAlignment="1">
      <alignment horizontal="center" vertical="center"/>
    </xf>
    <xf numFmtId="168" fontId="5" fillId="0" borderId="4" xfId="0" applyNumberFormat="1" applyFont="1" applyBorder="1"/>
    <xf numFmtId="0" fontId="8" fillId="2" borderId="10" xfId="0" applyFont="1" applyFill="1" applyBorder="1" applyAlignment="1">
      <alignment horizontal="center" vertical="top"/>
    </xf>
    <xf numFmtId="49" fontId="10" fillId="2" borderId="4" xfId="0" quotePrefix="1" applyNumberFormat="1" applyFont="1" applyFill="1" applyBorder="1" applyAlignment="1">
      <alignment vertical="top"/>
    </xf>
    <xf numFmtId="49" fontId="8" fillId="2" borderId="4" xfId="0" applyNumberFormat="1" applyFont="1" applyFill="1" applyBorder="1" applyAlignment="1">
      <alignment vertical="top"/>
    </xf>
    <xf numFmtId="168" fontId="8" fillId="3" borderId="1" xfId="2" applyNumberFormat="1" applyFont="1" applyFill="1" applyBorder="1" applyAlignment="1">
      <alignment horizontal="right"/>
    </xf>
    <xf numFmtId="0" fontId="8" fillId="0" borderId="1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168" fontId="8" fillId="0" borderId="1" xfId="2" applyNumberFormat="1" applyFont="1" applyFill="1" applyBorder="1" applyAlignment="1">
      <alignment horizontal="right"/>
    </xf>
    <xf numFmtId="168" fontId="8" fillId="0" borderId="4" xfId="2" applyNumberFormat="1" applyFont="1" applyFill="1" applyBorder="1" applyAlignment="1">
      <alignment horizontal="right"/>
    </xf>
    <xf numFmtId="0" fontId="10" fillId="2" borderId="4" xfId="0" applyFont="1" applyFill="1" applyBorder="1"/>
    <xf numFmtId="0" fontId="11" fillId="2" borderId="10" xfId="0" applyFont="1" applyFill="1" applyBorder="1" applyAlignment="1">
      <alignment horizontal="center" vertical="top"/>
    </xf>
    <xf numFmtId="0" fontId="8" fillId="2" borderId="4" xfId="0" applyFont="1" applyFill="1" applyBorder="1"/>
    <xf numFmtId="3" fontId="10" fillId="2" borderId="10" xfId="0" applyNumberFormat="1" applyFont="1" applyFill="1" applyBorder="1" applyAlignment="1">
      <alignment horizontal="center" vertical="top"/>
    </xf>
    <xf numFmtId="0" fontId="8" fillId="3" borderId="5" xfId="0" applyFont="1" applyFill="1" applyBorder="1" applyAlignment="1">
      <alignment vertical="center"/>
    </xf>
    <xf numFmtId="168" fontId="8" fillId="3" borderId="5" xfId="2" applyNumberFormat="1" applyFont="1" applyFill="1" applyBorder="1" applyAlignment="1">
      <alignment horizontal="right"/>
    </xf>
    <xf numFmtId="168" fontId="6" fillId="3" borderId="4" xfId="0" applyNumberFormat="1" applyFont="1" applyFill="1" applyBorder="1"/>
    <xf numFmtId="49" fontId="10" fillId="2" borderId="4" xfId="0" applyNumberFormat="1" applyFont="1" applyFill="1" applyBorder="1" applyAlignment="1">
      <alignment vertical="top" wrapText="1"/>
    </xf>
    <xf numFmtId="168" fontId="8" fillId="3" borderId="5" xfId="0" applyNumberFormat="1" applyFont="1" applyFill="1" applyBorder="1" applyAlignment="1">
      <alignment horizontal="right" vertical="center"/>
    </xf>
    <xf numFmtId="168" fontId="8" fillId="3" borderId="4" xfId="0" applyNumberFormat="1" applyFont="1" applyFill="1" applyBorder="1" applyAlignment="1">
      <alignment horizontal="right" vertical="center"/>
    </xf>
    <xf numFmtId="168" fontId="10" fillId="3" borderId="1" xfId="2" applyNumberFormat="1" applyFont="1" applyFill="1" applyBorder="1" applyAlignment="1">
      <alignment horizontal="right"/>
    </xf>
    <xf numFmtId="0" fontId="8" fillId="4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167" fontId="8" fillId="4" borderId="4" xfId="1" applyNumberFormat="1" applyFont="1" applyFill="1" applyBorder="1" applyAlignment="1">
      <alignment horizontal="center" vertical="center"/>
    </xf>
    <xf numFmtId="168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15" fillId="0" borderId="0" xfId="0" applyFont="1"/>
    <xf numFmtId="0" fontId="16" fillId="0" borderId="0" xfId="0" applyFont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7" fillId="2" borderId="5" xfId="0" applyFont="1" applyFill="1" applyBorder="1" applyAlignment="1">
      <alignment horizontal="center" vertical="center"/>
    </xf>
    <xf numFmtId="168" fontId="13" fillId="5" borderId="4" xfId="0" applyNumberFormat="1" applyFont="1" applyFill="1" applyBorder="1" applyAlignment="1">
      <alignment horizontal="center"/>
    </xf>
    <xf numFmtId="0" fontId="12" fillId="0" borderId="0" xfId="0" applyFont="1" applyFill="1" applyAlignment="1"/>
    <xf numFmtId="0" fontId="0" fillId="0" borderId="0" xfId="0" applyFill="1" applyBorder="1"/>
    <xf numFmtId="168" fontId="10" fillId="4" borderId="4" xfId="2" applyNumberFormat="1" applyFont="1" applyFill="1" applyBorder="1" applyAlignment="1">
      <alignment horizontal="right"/>
    </xf>
    <xf numFmtId="168" fontId="8" fillId="0" borderId="5" xfId="2" applyNumberFormat="1" applyFont="1" applyFill="1" applyBorder="1" applyAlignment="1">
      <alignment horizontal="right"/>
    </xf>
    <xf numFmtId="167" fontId="8" fillId="3" borderId="5" xfId="0" applyNumberFormat="1" applyFont="1" applyFill="1" applyBorder="1" applyAlignment="1">
      <alignment horizontal="center" vertical="center"/>
    </xf>
    <xf numFmtId="168" fontId="10" fillId="4" borderId="5" xfId="2" applyNumberFormat="1" applyFont="1" applyFill="1" applyBorder="1" applyAlignment="1">
      <alignment horizontal="right"/>
    </xf>
    <xf numFmtId="0" fontId="0" fillId="0" borderId="4" xfId="0" applyBorder="1"/>
    <xf numFmtId="0" fontId="17" fillId="0" borderId="0" xfId="0" applyFont="1"/>
    <xf numFmtId="168" fontId="23" fillId="5" borderId="4" xfId="0" applyNumberFormat="1" applyFont="1" applyFill="1" applyBorder="1" applyAlignment="1">
      <alignment horizontal="center"/>
    </xf>
    <xf numFmtId="0" fontId="21" fillId="0" borderId="0" xfId="0" applyFont="1" applyBorder="1" applyAlignment="1">
      <alignment horizontal="left"/>
    </xf>
    <xf numFmtId="164" fontId="21" fillId="0" borderId="0" xfId="0" applyNumberFormat="1" applyFont="1" applyBorder="1"/>
    <xf numFmtId="0" fontId="22" fillId="6" borderId="0" xfId="0" applyFont="1" applyFill="1"/>
    <xf numFmtId="0" fontId="22" fillId="6" borderId="0" xfId="0" applyFont="1" applyFill="1" applyAlignment="1">
      <alignment horizontal="left"/>
    </xf>
    <xf numFmtId="164" fontId="22" fillId="6" borderId="0" xfId="0" applyNumberFormat="1" applyFont="1" applyFill="1"/>
    <xf numFmtId="167" fontId="24" fillId="2" borderId="4" xfId="1" applyNumberFormat="1" applyFont="1" applyFill="1" applyBorder="1" applyAlignment="1">
      <alignment horizontal="center" vertical="center"/>
    </xf>
    <xf numFmtId="168" fontId="24" fillId="0" borderId="1" xfId="2" applyNumberFormat="1" applyFont="1" applyFill="1" applyBorder="1" applyAlignment="1">
      <alignment horizontal="right"/>
    </xf>
    <xf numFmtId="167" fontId="8" fillId="3" borderId="9" xfId="0" applyNumberFormat="1" applyFont="1" applyFill="1" applyBorder="1" applyAlignment="1">
      <alignment horizontal="center" vertical="center"/>
    </xf>
    <xf numFmtId="167" fontId="24" fillId="2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25" fillId="0" borderId="14" xfId="0" applyFont="1" applyBorder="1"/>
    <xf numFmtId="0" fontId="0" fillId="0" borderId="15" xfId="0" applyBorder="1"/>
    <xf numFmtId="0" fontId="0" fillId="0" borderId="16" xfId="0" applyBorder="1"/>
    <xf numFmtId="0" fontId="0" fillId="8" borderId="0" xfId="0" applyFill="1"/>
    <xf numFmtId="49" fontId="10" fillId="7" borderId="4" xfId="0" applyNumberFormat="1" applyFont="1" applyFill="1" applyBorder="1" applyAlignment="1">
      <alignment vertical="top"/>
    </xf>
    <xf numFmtId="167" fontId="24" fillId="7" borderId="4" xfId="1" applyNumberFormat="1" applyFont="1" applyFill="1" applyBorder="1" applyAlignment="1">
      <alignment horizontal="center" vertical="center"/>
    </xf>
    <xf numFmtId="168" fontId="24" fillId="7" borderId="1" xfId="2" applyNumberFormat="1" applyFont="1" applyFill="1" applyBorder="1" applyAlignment="1">
      <alignment horizontal="right"/>
    </xf>
    <xf numFmtId="0" fontId="5" fillId="7" borderId="5" xfId="0" applyFont="1" applyFill="1" applyBorder="1"/>
    <xf numFmtId="49" fontId="8" fillId="7" borderId="4" xfId="0" applyNumberFormat="1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9" fillId="0" borderId="0" xfId="0" applyFont="1"/>
    <xf numFmtId="0" fontId="29" fillId="2" borderId="4" xfId="0" applyFont="1" applyFill="1" applyBorder="1" applyAlignment="1">
      <alignment horizontal="center" vertical="center"/>
    </xf>
    <xf numFmtId="0" fontId="30" fillId="10" borderId="25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/>
    </xf>
    <xf numFmtId="3" fontId="30" fillId="10" borderId="4" xfId="0" applyNumberFormat="1" applyFont="1" applyFill="1" applyBorder="1" applyAlignment="1">
      <alignment horizontal="center" vertical="center"/>
    </xf>
    <xf numFmtId="167" fontId="30" fillId="10" borderId="9" xfId="0" applyNumberFormat="1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49" fontId="31" fillId="0" borderId="4" xfId="0" applyNumberFormat="1" applyFont="1" applyFill="1" applyBorder="1" applyAlignment="1">
      <alignment horizontal="left" vertical="center" wrapText="1"/>
    </xf>
    <xf numFmtId="167" fontId="32" fillId="0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49" fontId="31" fillId="2" borderId="4" xfId="0" quotePrefix="1" applyNumberFormat="1" applyFont="1" applyFill="1" applyBorder="1" applyAlignment="1">
      <alignment horizontal="left" vertical="center" wrapText="1"/>
    </xf>
    <xf numFmtId="167" fontId="32" fillId="0" borderId="11" xfId="1" applyNumberFormat="1" applyFont="1" applyFill="1" applyBorder="1" applyAlignment="1">
      <alignment horizontal="center" vertical="center"/>
    </xf>
    <xf numFmtId="167" fontId="30" fillId="10" borderId="4" xfId="0" applyNumberFormat="1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left" vertical="center" wrapText="1"/>
    </xf>
    <xf numFmtId="167" fontId="32" fillId="2" borderId="4" xfId="1" applyNumberFormat="1" applyFont="1" applyFill="1" applyBorder="1" applyAlignment="1">
      <alignment horizontal="center" vertical="center"/>
    </xf>
    <xf numFmtId="167" fontId="32" fillId="2" borderId="11" xfId="1" applyNumberFormat="1" applyFont="1" applyFill="1" applyBorder="1" applyAlignment="1">
      <alignment horizontal="center" vertical="center"/>
    </xf>
    <xf numFmtId="0" fontId="34" fillId="2" borderId="25" xfId="0" applyFont="1" applyFill="1" applyBorder="1" applyAlignment="1">
      <alignment horizontal="center" vertical="center"/>
    </xf>
    <xf numFmtId="49" fontId="30" fillId="0" borderId="4" xfId="0" applyNumberFormat="1" applyFont="1" applyFill="1" applyBorder="1" applyAlignment="1">
      <alignment horizontal="left" vertical="center" wrapText="1"/>
    </xf>
    <xf numFmtId="49" fontId="31" fillId="0" borderId="4" xfId="0" applyNumberFormat="1" applyFont="1" applyFill="1" applyBorder="1" applyAlignment="1">
      <alignment horizontal="left" vertical="top" wrapText="1"/>
    </xf>
    <xf numFmtId="0" fontId="31" fillId="0" borderId="30" xfId="0" applyFont="1" applyFill="1" applyBorder="1" applyAlignment="1">
      <alignment horizontal="center" vertical="center"/>
    </xf>
    <xf numFmtId="49" fontId="31" fillId="0" borderId="9" xfId="0" applyNumberFormat="1" applyFont="1" applyFill="1" applyBorder="1" applyAlignment="1">
      <alignment horizontal="left" vertical="top" wrapText="1"/>
    </xf>
    <xf numFmtId="167" fontId="32" fillId="0" borderId="9" xfId="1" applyNumberFormat="1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/>
    </xf>
    <xf numFmtId="49" fontId="31" fillId="2" borderId="4" xfId="0" applyNumberFormat="1" applyFont="1" applyFill="1" applyBorder="1" applyAlignment="1">
      <alignment horizontal="left" vertical="top" wrapText="1"/>
    </xf>
    <xf numFmtId="43" fontId="9" fillId="0" borderId="0" xfId="0" applyNumberFormat="1" applyFont="1" applyAlignment="1">
      <alignment vertical="center"/>
    </xf>
    <xf numFmtId="0" fontId="35" fillId="0" borderId="0" xfId="0" applyFont="1"/>
    <xf numFmtId="49" fontId="31" fillId="2" borderId="4" xfId="0" applyNumberFormat="1" applyFont="1" applyFill="1" applyBorder="1" applyAlignment="1">
      <alignment horizontal="left" vertical="center" wrapText="1"/>
    </xf>
    <xf numFmtId="167" fontId="32" fillId="2" borderId="4" xfId="1" applyNumberFormat="1" applyFont="1" applyFill="1" applyBorder="1" applyAlignment="1">
      <alignment horizontal="center" vertical="center" wrapText="1"/>
    </xf>
    <xf numFmtId="0" fontId="30" fillId="9" borderId="25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/>
    </xf>
    <xf numFmtId="3" fontId="30" fillId="9" borderId="4" xfId="0" applyNumberFormat="1" applyFont="1" applyFill="1" applyBorder="1" applyAlignment="1">
      <alignment horizontal="center" vertical="center"/>
    </xf>
    <xf numFmtId="167" fontId="30" fillId="9" borderId="4" xfId="1" applyNumberFormat="1" applyFont="1" applyFill="1" applyBorder="1" applyAlignment="1">
      <alignment horizontal="center" vertical="center"/>
    </xf>
    <xf numFmtId="167" fontId="33" fillId="2" borderId="4" xfId="1" applyNumberFormat="1" applyFont="1" applyFill="1" applyBorder="1" applyAlignment="1">
      <alignment horizontal="center" vertical="center"/>
    </xf>
    <xf numFmtId="167" fontId="37" fillId="0" borderId="4" xfId="1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9" fontId="9" fillId="0" borderId="0" xfId="0" applyNumberFormat="1" applyFont="1"/>
    <xf numFmtId="0" fontId="9" fillId="0" borderId="0" xfId="0" applyFont="1" applyAlignment="1">
      <alignment horizontal="center" vertical="center" wrapText="1"/>
    </xf>
    <xf numFmtId="49" fontId="31" fillId="0" borderId="4" xfId="0" applyNumberFormat="1" applyFont="1" applyBorder="1" applyAlignment="1">
      <alignment horizontal="left" vertical="center" wrapText="1"/>
    </xf>
    <xf numFmtId="49" fontId="31" fillId="0" borderId="5" xfId="0" applyNumberFormat="1" applyFont="1" applyFill="1" applyBorder="1" applyAlignment="1">
      <alignment horizontal="left" vertical="top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/>
    </xf>
    <xf numFmtId="167" fontId="32" fillId="0" borderId="1" xfId="1" applyNumberFormat="1" applyFont="1" applyFill="1" applyBorder="1" applyAlignment="1">
      <alignment horizontal="center" vertical="center"/>
    </xf>
    <xf numFmtId="167" fontId="30" fillId="10" borderId="1" xfId="0" applyNumberFormat="1" applyFont="1" applyFill="1" applyBorder="1" applyAlignment="1">
      <alignment horizontal="center" vertical="center"/>
    </xf>
    <xf numFmtId="167" fontId="32" fillId="2" borderId="1" xfId="1" applyNumberFormat="1" applyFont="1" applyFill="1" applyBorder="1" applyAlignment="1">
      <alignment horizontal="center" vertical="center"/>
    </xf>
    <xf numFmtId="167" fontId="30" fillId="10" borderId="5" xfId="0" applyNumberFormat="1" applyFont="1" applyFill="1" applyBorder="1" applyAlignment="1">
      <alignment horizontal="center" vertical="center"/>
    </xf>
    <xf numFmtId="169" fontId="30" fillId="10" borderId="20" xfId="0" applyNumberFormat="1" applyFont="1" applyFill="1" applyBorder="1" applyAlignment="1">
      <alignment horizontal="center" vertical="center"/>
    </xf>
    <xf numFmtId="169" fontId="32" fillId="0" borderId="1" xfId="1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49" fontId="29" fillId="2" borderId="4" xfId="0" applyNumberFormat="1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36" fillId="0" borderId="27" xfId="0" applyFont="1" applyFill="1" applyBorder="1" applyAlignment="1">
      <alignment horizontal="left" vertical="top" wrapText="1"/>
    </xf>
    <xf numFmtId="0" fontId="20" fillId="0" borderId="2" xfId="0" applyFont="1" applyFill="1" applyBorder="1" applyAlignment="1">
      <alignment horizontal="left" vertical="top" wrapText="1"/>
    </xf>
    <xf numFmtId="0" fontId="20" fillId="0" borderId="17" xfId="0" applyFont="1" applyFill="1" applyBorder="1" applyAlignment="1">
      <alignment horizontal="left" vertical="top" wrapText="1"/>
    </xf>
    <xf numFmtId="0" fontId="20" fillId="0" borderId="29" xfId="0" applyFont="1" applyFill="1" applyBorder="1" applyAlignment="1">
      <alignment horizontal="left" vertical="top" wrapText="1"/>
    </xf>
    <xf numFmtId="0" fontId="20" fillId="0" borderId="22" xfId="0" applyFont="1" applyFill="1" applyBorder="1" applyAlignment="1">
      <alignment horizontal="left" vertical="top" wrapText="1"/>
    </xf>
    <xf numFmtId="0" fontId="20" fillId="0" borderId="23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0" fontId="20" fillId="0" borderId="2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7" fillId="0" borderId="27" xfId="0" applyFont="1" applyFill="1" applyBorder="1" applyAlignment="1">
      <alignment horizontal="left" vertical="top" wrapText="1"/>
    </xf>
    <xf numFmtId="0" fontId="19" fillId="0" borderId="2" xfId="0" applyFont="1" applyFill="1" applyBorder="1" applyAlignment="1">
      <alignment horizontal="left" vertical="top" wrapText="1"/>
    </xf>
    <xf numFmtId="0" fontId="19" fillId="0" borderId="28" xfId="0" applyFont="1" applyFill="1" applyBorder="1" applyAlignment="1">
      <alignment horizontal="left" vertical="top" wrapText="1"/>
    </xf>
    <xf numFmtId="0" fontId="19" fillId="0" borderId="3" xfId="0" applyFont="1" applyFill="1" applyBorder="1" applyAlignment="1">
      <alignment horizontal="left" vertical="top" wrapText="1"/>
    </xf>
    <xf numFmtId="0" fontId="20" fillId="0" borderId="4" xfId="0" applyFont="1" applyFill="1" applyBorder="1" applyAlignment="1">
      <alignment horizontal="left" vertical="top" wrapText="1"/>
    </xf>
    <xf numFmtId="0" fontId="27" fillId="0" borderId="1" xfId="0" applyFont="1" applyFill="1" applyBorder="1" applyAlignment="1">
      <alignment horizontal="left" vertical="top" wrapText="1"/>
    </xf>
    <xf numFmtId="0" fontId="19" fillId="0" borderId="18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49" fontId="31" fillId="12" borderId="4" xfId="0" applyNumberFormat="1" applyFont="1" applyFill="1" applyBorder="1" applyAlignment="1">
      <alignment horizontal="left" vertical="top" wrapText="1"/>
    </xf>
    <xf numFmtId="167" fontId="32" fillId="12" borderId="1" xfId="1" applyNumberFormat="1" applyFont="1" applyFill="1" applyBorder="1" applyAlignment="1">
      <alignment horizontal="center" vertical="center"/>
    </xf>
    <xf numFmtId="167" fontId="32" fillId="12" borderId="4" xfId="1" applyNumberFormat="1" applyFont="1" applyFill="1" applyBorder="1" applyAlignment="1">
      <alignment horizontal="center" vertical="center"/>
    </xf>
    <xf numFmtId="169" fontId="32" fillId="12" borderId="1" xfId="1" applyNumberFormat="1" applyFont="1" applyFill="1" applyBorder="1" applyAlignment="1">
      <alignment horizontal="center" vertical="center"/>
    </xf>
    <xf numFmtId="167" fontId="32" fillId="12" borderId="11" xfId="1" applyNumberFormat="1" applyFont="1" applyFill="1" applyBorder="1" applyAlignment="1">
      <alignment horizontal="center" vertical="center"/>
    </xf>
  </cellXfs>
  <cellStyles count="3">
    <cellStyle name="Comma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3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45FB9-1361-4065-862F-25532244361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2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FC2EC-7D84-4821-ACC2-C01D6D3F179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85724</xdr:rowOff>
    </xdr:from>
    <xdr:to>
      <xdr:col>2</xdr:col>
      <xdr:colOff>0</xdr:colOff>
      <xdr:row>2</xdr:row>
      <xdr:rowOff>219074</xdr:rowOff>
    </xdr:to>
    <xdr:pic>
      <xdr:nvPicPr>
        <xdr:cNvPr id="3" name="Picture 11" descr="WFPLOGO_fre_H_B_500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4"/>
          <a:ext cx="1609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wfp-my.sharepoint.com/Users/souleika.abdillahi/AppData/Local/Microsoft/Windows/Temporary%20Internet%20Files/Content.Outlook/3AD5LS22/Copy%20of%20Budget%20pr&#233;visionnel%20AGVSAN%202012%20-%20Simulation%202%20sc&#233;narii%20version%20partag&#233;e%20HQ-ODD_VAM%20(003).xls?2FF447DF" TargetMode="External"/><Relationship Id="rId1" Type="http://schemas.openxmlformats.org/officeDocument/2006/relationships/externalLinkPath" Target="file:///\\2FF447DF\Copy%20of%20Budget%20pr&#233;visionnel%20AGVSAN%202012%20-%20Simulation%202%20sc&#233;narii%20version%20partag&#233;e%20HQ-ODD_VAM%20(0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12000 HH"/>
      <sheetName val="Budget 8000 HH"/>
    </sheetNames>
    <sheetDataSet>
      <sheetData sheetId="0">
        <row r="92">
          <cell r="D92">
            <v>150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67FA-0948-4B94-B594-3B860D56CA32}">
  <dimension ref="A1:N76"/>
  <sheetViews>
    <sheetView tabSelected="1" view="pageBreakPreview" topLeftCell="A25" zoomScale="96" zoomScaleNormal="128" zoomScaleSheetLayoutView="96" workbookViewId="0">
      <selection activeCell="B29" sqref="B29:H31"/>
    </sheetView>
  </sheetViews>
  <sheetFormatPr defaultColWidth="9.1796875" defaultRowHeight="14.5" x14ac:dyDescent="0.35"/>
  <cols>
    <col min="1" max="1" width="3.81640625" customWidth="1"/>
    <col min="2" max="2" width="49.453125" style="84" customWidth="1"/>
    <col min="3" max="3" width="12.54296875" style="72" customWidth="1"/>
    <col min="4" max="4" width="13.90625" style="72" customWidth="1"/>
    <col min="5" max="5" width="8.453125" style="72" customWidth="1"/>
    <col min="6" max="6" width="10.08984375" style="72" customWidth="1"/>
    <col min="7" max="8" width="21.90625" style="72" customWidth="1"/>
    <col min="9" max="251" width="11.453125" customWidth="1"/>
    <col min="252" max="252" width="3.81640625" customWidth="1"/>
    <col min="253" max="253" width="37.81640625" customWidth="1"/>
    <col min="254" max="254" width="8.81640625" customWidth="1"/>
    <col min="255" max="255" width="12.54296875" customWidth="1"/>
    <col min="256" max="257" width="8.453125" customWidth="1"/>
    <col min="258" max="258" width="12.81640625" bestFit="1" customWidth="1"/>
    <col min="259" max="259" width="11.453125" customWidth="1"/>
    <col min="260" max="261" width="9.1796875" customWidth="1"/>
    <col min="262" max="262" width="20.81640625" customWidth="1"/>
    <col min="263" max="263" width="11.81640625" customWidth="1"/>
    <col min="264" max="507" width="11.453125" customWidth="1"/>
    <col min="508" max="508" width="3.81640625" customWidth="1"/>
    <col min="509" max="509" width="37.81640625" customWidth="1"/>
    <col min="510" max="510" width="8.81640625" customWidth="1"/>
    <col min="511" max="511" width="12.54296875" customWidth="1"/>
    <col min="512" max="513" width="8.453125" customWidth="1"/>
    <col min="514" max="514" width="12.81640625" bestFit="1" customWidth="1"/>
    <col min="515" max="515" width="11.453125" customWidth="1"/>
    <col min="516" max="517" width="9.1796875" customWidth="1"/>
    <col min="518" max="518" width="20.81640625" customWidth="1"/>
    <col min="519" max="519" width="11.81640625" customWidth="1"/>
    <col min="520" max="763" width="11.453125" customWidth="1"/>
    <col min="764" max="764" width="3.81640625" customWidth="1"/>
    <col min="765" max="765" width="37.81640625" customWidth="1"/>
    <col min="766" max="766" width="8.81640625" customWidth="1"/>
    <col min="767" max="767" width="12.54296875" customWidth="1"/>
    <col min="768" max="769" width="8.453125" customWidth="1"/>
    <col min="770" max="770" width="12.81640625" bestFit="1" customWidth="1"/>
    <col min="771" max="771" width="11.453125" customWidth="1"/>
    <col min="772" max="773" width="9.1796875" customWidth="1"/>
    <col min="774" max="774" width="20.81640625" customWidth="1"/>
    <col min="775" max="775" width="11.81640625" customWidth="1"/>
    <col min="776" max="1019" width="11.453125" customWidth="1"/>
    <col min="1020" max="1020" width="3.81640625" customWidth="1"/>
    <col min="1021" max="1021" width="37.81640625" customWidth="1"/>
    <col min="1022" max="1022" width="8.81640625" customWidth="1"/>
    <col min="1023" max="1023" width="12.54296875" customWidth="1"/>
    <col min="1024" max="1025" width="8.453125" customWidth="1"/>
    <col min="1026" max="1026" width="12.81640625" bestFit="1" customWidth="1"/>
    <col min="1027" max="1027" width="11.453125" customWidth="1"/>
    <col min="1028" max="1029" width="9.1796875" customWidth="1"/>
    <col min="1030" max="1030" width="20.81640625" customWidth="1"/>
    <col min="1031" max="1031" width="11.81640625" customWidth="1"/>
    <col min="1032" max="1275" width="11.453125" customWidth="1"/>
    <col min="1276" max="1276" width="3.81640625" customWidth="1"/>
    <col min="1277" max="1277" width="37.81640625" customWidth="1"/>
    <col min="1278" max="1278" width="8.81640625" customWidth="1"/>
    <col min="1279" max="1279" width="12.54296875" customWidth="1"/>
    <col min="1280" max="1281" width="8.453125" customWidth="1"/>
    <col min="1282" max="1282" width="12.81640625" bestFit="1" customWidth="1"/>
    <col min="1283" max="1283" width="11.453125" customWidth="1"/>
    <col min="1284" max="1285" width="9.1796875" customWidth="1"/>
    <col min="1286" max="1286" width="20.81640625" customWidth="1"/>
    <col min="1287" max="1287" width="11.81640625" customWidth="1"/>
    <col min="1288" max="1531" width="11.453125" customWidth="1"/>
    <col min="1532" max="1532" width="3.81640625" customWidth="1"/>
    <col min="1533" max="1533" width="37.81640625" customWidth="1"/>
    <col min="1534" max="1534" width="8.81640625" customWidth="1"/>
    <col min="1535" max="1535" width="12.54296875" customWidth="1"/>
    <col min="1536" max="1537" width="8.453125" customWidth="1"/>
    <col min="1538" max="1538" width="12.81640625" bestFit="1" customWidth="1"/>
    <col min="1539" max="1539" width="11.453125" customWidth="1"/>
    <col min="1540" max="1541" width="9.1796875" customWidth="1"/>
    <col min="1542" max="1542" width="20.81640625" customWidth="1"/>
    <col min="1543" max="1543" width="11.81640625" customWidth="1"/>
    <col min="1544" max="1787" width="11.453125" customWidth="1"/>
    <col min="1788" max="1788" width="3.81640625" customWidth="1"/>
    <col min="1789" max="1789" width="37.81640625" customWidth="1"/>
    <col min="1790" max="1790" width="8.81640625" customWidth="1"/>
    <col min="1791" max="1791" width="12.54296875" customWidth="1"/>
    <col min="1792" max="1793" width="8.453125" customWidth="1"/>
    <col min="1794" max="1794" width="12.81640625" bestFit="1" customWidth="1"/>
    <col min="1795" max="1795" width="11.453125" customWidth="1"/>
    <col min="1796" max="1797" width="9.1796875" customWidth="1"/>
    <col min="1798" max="1798" width="20.81640625" customWidth="1"/>
    <col min="1799" max="1799" width="11.81640625" customWidth="1"/>
    <col min="1800" max="2043" width="11.453125" customWidth="1"/>
    <col min="2044" max="2044" width="3.81640625" customWidth="1"/>
    <col min="2045" max="2045" width="37.81640625" customWidth="1"/>
    <col min="2046" max="2046" width="8.81640625" customWidth="1"/>
    <col min="2047" max="2047" width="12.54296875" customWidth="1"/>
    <col min="2048" max="2049" width="8.453125" customWidth="1"/>
    <col min="2050" max="2050" width="12.81640625" bestFit="1" customWidth="1"/>
    <col min="2051" max="2051" width="11.453125" customWidth="1"/>
    <col min="2052" max="2053" width="9.1796875" customWidth="1"/>
    <col min="2054" max="2054" width="20.81640625" customWidth="1"/>
    <col min="2055" max="2055" width="11.81640625" customWidth="1"/>
    <col min="2056" max="2299" width="11.453125" customWidth="1"/>
    <col min="2300" max="2300" width="3.81640625" customWidth="1"/>
    <col min="2301" max="2301" width="37.81640625" customWidth="1"/>
    <col min="2302" max="2302" width="8.81640625" customWidth="1"/>
    <col min="2303" max="2303" width="12.54296875" customWidth="1"/>
    <col min="2304" max="2305" width="8.453125" customWidth="1"/>
    <col min="2306" max="2306" width="12.81640625" bestFit="1" customWidth="1"/>
    <col min="2307" max="2307" width="11.453125" customWidth="1"/>
    <col min="2308" max="2309" width="9.1796875" customWidth="1"/>
    <col min="2310" max="2310" width="20.81640625" customWidth="1"/>
    <col min="2311" max="2311" width="11.81640625" customWidth="1"/>
    <col min="2312" max="2555" width="11.453125" customWidth="1"/>
    <col min="2556" max="2556" width="3.81640625" customWidth="1"/>
    <col min="2557" max="2557" width="37.81640625" customWidth="1"/>
    <col min="2558" max="2558" width="8.81640625" customWidth="1"/>
    <col min="2559" max="2559" width="12.54296875" customWidth="1"/>
    <col min="2560" max="2561" width="8.453125" customWidth="1"/>
    <col min="2562" max="2562" width="12.81640625" bestFit="1" customWidth="1"/>
    <col min="2563" max="2563" width="11.453125" customWidth="1"/>
    <col min="2564" max="2565" width="9.1796875" customWidth="1"/>
    <col min="2566" max="2566" width="20.81640625" customWidth="1"/>
    <col min="2567" max="2567" width="11.81640625" customWidth="1"/>
    <col min="2568" max="2811" width="11.453125" customWidth="1"/>
    <col min="2812" max="2812" width="3.81640625" customWidth="1"/>
    <col min="2813" max="2813" width="37.81640625" customWidth="1"/>
    <col min="2814" max="2814" width="8.81640625" customWidth="1"/>
    <col min="2815" max="2815" width="12.54296875" customWidth="1"/>
    <col min="2816" max="2817" width="8.453125" customWidth="1"/>
    <col min="2818" max="2818" width="12.81640625" bestFit="1" customWidth="1"/>
    <col min="2819" max="2819" width="11.453125" customWidth="1"/>
    <col min="2820" max="2821" width="9.1796875" customWidth="1"/>
    <col min="2822" max="2822" width="20.81640625" customWidth="1"/>
    <col min="2823" max="2823" width="11.81640625" customWidth="1"/>
    <col min="2824" max="3067" width="11.453125" customWidth="1"/>
    <col min="3068" max="3068" width="3.81640625" customWidth="1"/>
    <col min="3069" max="3069" width="37.81640625" customWidth="1"/>
    <col min="3070" max="3070" width="8.81640625" customWidth="1"/>
    <col min="3071" max="3071" width="12.54296875" customWidth="1"/>
    <col min="3072" max="3073" width="8.453125" customWidth="1"/>
    <col min="3074" max="3074" width="12.81640625" bestFit="1" customWidth="1"/>
    <col min="3075" max="3075" width="11.453125" customWidth="1"/>
    <col min="3076" max="3077" width="9.1796875" customWidth="1"/>
    <col min="3078" max="3078" width="20.81640625" customWidth="1"/>
    <col min="3079" max="3079" width="11.81640625" customWidth="1"/>
    <col min="3080" max="3323" width="11.453125" customWidth="1"/>
    <col min="3324" max="3324" width="3.81640625" customWidth="1"/>
    <col min="3325" max="3325" width="37.81640625" customWidth="1"/>
    <col min="3326" max="3326" width="8.81640625" customWidth="1"/>
    <col min="3327" max="3327" width="12.54296875" customWidth="1"/>
    <col min="3328" max="3329" width="8.453125" customWidth="1"/>
    <col min="3330" max="3330" width="12.81640625" bestFit="1" customWidth="1"/>
    <col min="3331" max="3331" width="11.453125" customWidth="1"/>
    <col min="3332" max="3333" width="9.1796875" customWidth="1"/>
    <col min="3334" max="3334" width="20.81640625" customWidth="1"/>
    <col min="3335" max="3335" width="11.81640625" customWidth="1"/>
    <col min="3336" max="3579" width="11.453125" customWidth="1"/>
    <col min="3580" max="3580" width="3.81640625" customWidth="1"/>
    <col min="3581" max="3581" width="37.81640625" customWidth="1"/>
    <col min="3582" max="3582" width="8.81640625" customWidth="1"/>
    <col min="3583" max="3583" width="12.54296875" customWidth="1"/>
    <col min="3584" max="3585" width="8.453125" customWidth="1"/>
    <col min="3586" max="3586" width="12.81640625" bestFit="1" customWidth="1"/>
    <col min="3587" max="3587" width="11.453125" customWidth="1"/>
    <col min="3588" max="3589" width="9.1796875" customWidth="1"/>
    <col min="3590" max="3590" width="20.81640625" customWidth="1"/>
    <col min="3591" max="3591" width="11.81640625" customWidth="1"/>
    <col min="3592" max="3835" width="11.453125" customWidth="1"/>
    <col min="3836" max="3836" width="3.81640625" customWidth="1"/>
    <col min="3837" max="3837" width="37.81640625" customWidth="1"/>
    <col min="3838" max="3838" width="8.81640625" customWidth="1"/>
    <col min="3839" max="3839" width="12.54296875" customWidth="1"/>
    <col min="3840" max="3841" width="8.453125" customWidth="1"/>
    <col min="3842" max="3842" width="12.81640625" bestFit="1" customWidth="1"/>
    <col min="3843" max="3843" width="11.453125" customWidth="1"/>
    <col min="3844" max="3845" width="9.1796875" customWidth="1"/>
    <col min="3846" max="3846" width="20.81640625" customWidth="1"/>
    <col min="3847" max="3847" width="11.81640625" customWidth="1"/>
    <col min="3848" max="4091" width="11.453125" customWidth="1"/>
    <col min="4092" max="4092" width="3.81640625" customWidth="1"/>
    <col min="4093" max="4093" width="37.81640625" customWidth="1"/>
    <col min="4094" max="4094" width="8.81640625" customWidth="1"/>
    <col min="4095" max="4095" width="12.54296875" customWidth="1"/>
    <col min="4096" max="4097" width="8.453125" customWidth="1"/>
    <col min="4098" max="4098" width="12.81640625" bestFit="1" customWidth="1"/>
    <col min="4099" max="4099" width="11.453125" customWidth="1"/>
    <col min="4100" max="4101" width="9.1796875" customWidth="1"/>
    <col min="4102" max="4102" width="20.81640625" customWidth="1"/>
    <col min="4103" max="4103" width="11.81640625" customWidth="1"/>
    <col min="4104" max="4347" width="11.453125" customWidth="1"/>
    <col min="4348" max="4348" width="3.81640625" customWidth="1"/>
    <col min="4349" max="4349" width="37.81640625" customWidth="1"/>
    <col min="4350" max="4350" width="8.81640625" customWidth="1"/>
    <col min="4351" max="4351" width="12.54296875" customWidth="1"/>
    <col min="4352" max="4353" width="8.453125" customWidth="1"/>
    <col min="4354" max="4354" width="12.81640625" bestFit="1" customWidth="1"/>
    <col min="4355" max="4355" width="11.453125" customWidth="1"/>
    <col min="4356" max="4357" width="9.1796875" customWidth="1"/>
    <col min="4358" max="4358" width="20.81640625" customWidth="1"/>
    <col min="4359" max="4359" width="11.81640625" customWidth="1"/>
    <col min="4360" max="4603" width="11.453125" customWidth="1"/>
    <col min="4604" max="4604" width="3.81640625" customWidth="1"/>
    <col min="4605" max="4605" width="37.81640625" customWidth="1"/>
    <col min="4606" max="4606" width="8.81640625" customWidth="1"/>
    <col min="4607" max="4607" width="12.54296875" customWidth="1"/>
    <col min="4608" max="4609" width="8.453125" customWidth="1"/>
    <col min="4610" max="4610" width="12.81640625" bestFit="1" customWidth="1"/>
    <col min="4611" max="4611" width="11.453125" customWidth="1"/>
    <col min="4612" max="4613" width="9.1796875" customWidth="1"/>
    <col min="4614" max="4614" width="20.81640625" customWidth="1"/>
    <col min="4615" max="4615" width="11.81640625" customWidth="1"/>
    <col min="4616" max="4859" width="11.453125" customWidth="1"/>
    <col min="4860" max="4860" width="3.81640625" customWidth="1"/>
    <col min="4861" max="4861" width="37.81640625" customWidth="1"/>
    <col min="4862" max="4862" width="8.81640625" customWidth="1"/>
    <col min="4863" max="4863" width="12.54296875" customWidth="1"/>
    <col min="4864" max="4865" width="8.453125" customWidth="1"/>
    <col min="4866" max="4866" width="12.81640625" bestFit="1" customWidth="1"/>
    <col min="4867" max="4867" width="11.453125" customWidth="1"/>
    <col min="4868" max="4869" width="9.1796875" customWidth="1"/>
    <col min="4870" max="4870" width="20.81640625" customWidth="1"/>
    <col min="4871" max="4871" width="11.81640625" customWidth="1"/>
    <col min="4872" max="5115" width="11.453125" customWidth="1"/>
    <col min="5116" max="5116" width="3.81640625" customWidth="1"/>
    <col min="5117" max="5117" width="37.81640625" customWidth="1"/>
    <col min="5118" max="5118" width="8.81640625" customWidth="1"/>
    <col min="5119" max="5119" width="12.54296875" customWidth="1"/>
    <col min="5120" max="5121" width="8.453125" customWidth="1"/>
    <col min="5122" max="5122" width="12.81640625" bestFit="1" customWidth="1"/>
    <col min="5123" max="5123" width="11.453125" customWidth="1"/>
    <col min="5124" max="5125" width="9.1796875" customWidth="1"/>
    <col min="5126" max="5126" width="20.81640625" customWidth="1"/>
    <col min="5127" max="5127" width="11.81640625" customWidth="1"/>
    <col min="5128" max="5371" width="11.453125" customWidth="1"/>
    <col min="5372" max="5372" width="3.81640625" customWidth="1"/>
    <col min="5373" max="5373" width="37.81640625" customWidth="1"/>
    <col min="5374" max="5374" width="8.81640625" customWidth="1"/>
    <col min="5375" max="5375" width="12.54296875" customWidth="1"/>
    <col min="5376" max="5377" width="8.453125" customWidth="1"/>
    <col min="5378" max="5378" width="12.81640625" bestFit="1" customWidth="1"/>
    <col min="5379" max="5379" width="11.453125" customWidth="1"/>
    <col min="5380" max="5381" width="9.1796875" customWidth="1"/>
    <col min="5382" max="5382" width="20.81640625" customWidth="1"/>
    <col min="5383" max="5383" width="11.81640625" customWidth="1"/>
    <col min="5384" max="5627" width="11.453125" customWidth="1"/>
    <col min="5628" max="5628" width="3.81640625" customWidth="1"/>
    <col min="5629" max="5629" width="37.81640625" customWidth="1"/>
    <col min="5630" max="5630" width="8.81640625" customWidth="1"/>
    <col min="5631" max="5631" width="12.54296875" customWidth="1"/>
    <col min="5632" max="5633" width="8.453125" customWidth="1"/>
    <col min="5634" max="5634" width="12.81640625" bestFit="1" customWidth="1"/>
    <col min="5635" max="5635" width="11.453125" customWidth="1"/>
    <col min="5636" max="5637" width="9.1796875" customWidth="1"/>
    <col min="5638" max="5638" width="20.81640625" customWidth="1"/>
    <col min="5639" max="5639" width="11.81640625" customWidth="1"/>
    <col min="5640" max="5883" width="11.453125" customWidth="1"/>
    <col min="5884" max="5884" width="3.81640625" customWidth="1"/>
    <col min="5885" max="5885" width="37.81640625" customWidth="1"/>
    <col min="5886" max="5886" width="8.81640625" customWidth="1"/>
    <col min="5887" max="5887" width="12.54296875" customWidth="1"/>
    <col min="5888" max="5889" width="8.453125" customWidth="1"/>
    <col min="5890" max="5890" width="12.81640625" bestFit="1" customWidth="1"/>
    <col min="5891" max="5891" width="11.453125" customWidth="1"/>
    <col min="5892" max="5893" width="9.1796875" customWidth="1"/>
    <col min="5894" max="5894" width="20.81640625" customWidth="1"/>
    <col min="5895" max="5895" width="11.81640625" customWidth="1"/>
    <col min="5896" max="6139" width="11.453125" customWidth="1"/>
    <col min="6140" max="6140" width="3.81640625" customWidth="1"/>
    <col min="6141" max="6141" width="37.81640625" customWidth="1"/>
    <col min="6142" max="6142" width="8.81640625" customWidth="1"/>
    <col min="6143" max="6143" width="12.54296875" customWidth="1"/>
    <col min="6144" max="6145" width="8.453125" customWidth="1"/>
    <col min="6146" max="6146" width="12.81640625" bestFit="1" customWidth="1"/>
    <col min="6147" max="6147" width="11.453125" customWidth="1"/>
    <col min="6148" max="6149" width="9.1796875" customWidth="1"/>
    <col min="6150" max="6150" width="20.81640625" customWidth="1"/>
    <col min="6151" max="6151" width="11.81640625" customWidth="1"/>
    <col min="6152" max="6395" width="11.453125" customWidth="1"/>
    <col min="6396" max="6396" width="3.81640625" customWidth="1"/>
    <col min="6397" max="6397" width="37.81640625" customWidth="1"/>
    <col min="6398" max="6398" width="8.81640625" customWidth="1"/>
    <col min="6399" max="6399" width="12.54296875" customWidth="1"/>
    <col min="6400" max="6401" width="8.453125" customWidth="1"/>
    <col min="6402" max="6402" width="12.81640625" bestFit="1" customWidth="1"/>
    <col min="6403" max="6403" width="11.453125" customWidth="1"/>
    <col min="6404" max="6405" width="9.1796875" customWidth="1"/>
    <col min="6406" max="6406" width="20.81640625" customWidth="1"/>
    <col min="6407" max="6407" width="11.81640625" customWidth="1"/>
    <col min="6408" max="6651" width="11.453125" customWidth="1"/>
    <col min="6652" max="6652" width="3.81640625" customWidth="1"/>
    <col min="6653" max="6653" width="37.81640625" customWidth="1"/>
    <col min="6654" max="6654" width="8.81640625" customWidth="1"/>
    <col min="6655" max="6655" width="12.54296875" customWidth="1"/>
    <col min="6656" max="6657" width="8.453125" customWidth="1"/>
    <col min="6658" max="6658" width="12.81640625" bestFit="1" customWidth="1"/>
    <col min="6659" max="6659" width="11.453125" customWidth="1"/>
    <col min="6660" max="6661" width="9.1796875" customWidth="1"/>
    <col min="6662" max="6662" width="20.81640625" customWidth="1"/>
    <col min="6663" max="6663" width="11.81640625" customWidth="1"/>
    <col min="6664" max="6907" width="11.453125" customWidth="1"/>
    <col min="6908" max="6908" width="3.81640625" customWidth="1"/>
    <col min="6909" max="6909" width="37.81640625" customWidth="1"/>
    <col min="6910" max="6910" width="8.81640625" customWidth="1"/>
    <col min="6911" max="6911" width="12.54296875" customWidth="1"/>
    <col min="6912" max="6913" width="8.453125" customWidth="1"/>
    <col min="6914" max="6914" width="12.81640625" bestFit="1" customWidth="1"/>
    <col min="6915" max="6915" width="11.453125" customWidth="1"/>
    <col min="6916" max="6917" width="9.1796875" customWidth="1"/>
    <col min="6918" max="6918" width="20.81640625" customWidth="1"/>
    <col min="6919" max="6919" width="11.81640625" customWidth="1"/>
    <col min="6920" max="7163" width="11.453125" customWidth="1"/>
    <col min="7164" max="7164" width="3.81640625" customWidth="1"/>
    <col min="7165" max="7165" width="37.81640625" customWidth="1"/>
    <col min="7166" max="7166" width="8.81640625" customWidth="1"/>
    <col min="7167" max="7167" width="12.54296875" customWidth="1"/>
    <col min="7168" max="7169" width="8.453125" customWidth="1"/>
    <col min="7170" max="7170" width="12.81640625" bestFit="1" customWidth="1"/>
    <col min="7171" max="7171" width="11.453125" customWidth="1"/>
    <col min="7172" max="7173" width="9.1796875" customWidth="1"/>
    <col min="7174" max="7174" width="20.81640625" customWidth="1"/>
    <col min="7175" max="7175" width="11.81640625" customWidth="1"/>
    <col min="7176" max="7419" width="11.453125" customWidth="1"/>
    <col min="7420" max="7420" width="3.81640625" customWidth="1"/>
    <col min="7421" max="7421" width="37.81640625" customWidth="1"/>
    <col min="7422" max="7422" width="8.81640625" customWidth="1"/>
    <col min="7423" max="7423" width="12.54296875" customWidth="1"/>
    <col min="7424" max="7425" width="8.453125" customWidth="1"/>
    <col min="7426" max="7426" width="12.81640625" bestFit="1" customWidth="1"/>
    <col min="7427" max="7427" width="11.453125" customWidth="1"/>
    <col min="7428" max="7429" width="9.1796875" customWidth="1"/>
    <col min="7430" max="7430" width="20.81640625" customWidth="1"/>
    <col min="7431" max="7431" width="11.81640625" customWidth="1"/>
    <col min="7432" max="7675" width="11.453125" customWidth="1"/>
    <col min="7676" max="7676" width="3.81640625" customWidth="1"/>
    <col min="7677" max="7677" width="37.81640625" customWidth="1"/>
    <col min="7678" max="7678" width="8.81640625" customWidth="1"/>
    <col min="7679" max="7679" width="12.54296875" customWidth="1"/>
    <col min="7680" max="7681" width="8.453125" customWidth="1"/>
    <col min="7682" max="7682" width="12.81640625" bestFit="1" customWidth="1"/>
    <col min="7683" max="7683" width="11.453125" customWidth="1"/>
    <col min="7684" max="7685" width="9.1796875" customWidth="1"/>
    <col min="7686" max="7686" width="20.81640625" customWidth="1"/>
    <col min="7687" max="7687" width="11.81640625" customWidth="1"/>
    <col min="7688" max="7931" width="11.453125" customWidth="1"/>
    <col min="7932" max="7932" width="3.81640625" customWidth="1"/>
    <col min="7933" max="7933" width="37.81640625" customWidth="1"/>
    <col min="7934" max="7934" width="8.81640625" customWidth="1"/>
    <col min="7935" max="7935" width="12.54296875" customWidth="1"/>
    <col min="7936" max="7937" width="8.453125" customWidth="1"/>
    <col min="7938" max="7938" width="12.81640625" bestFit="1" customWidth="1"/>
    <col min="7939" max="7939" width="11.453125" customWidth="1"/>
    <col min="7940" max="7941" width="9.1796875" customWidth="1"/>
    <col min="7942" max="7942" width="20.81640625" customWidth="1"/>
    <col min="7943" max="7943" width="11.81640625" customWidth="1"/>
    <col min="7944" max="8187" width="11.453125" customWidth="1"/>
    <col min="8188" max="8188" width="3.81640625" customWidth="1"/>
    <col min="8189" max="8189" width="37.81640625" customWidth="1"/>
    <col min="8190" max="8190" width="8.81640625" customWidth="1"/>
    <col min="8191" max="8191" width="12.54296875" customWidth="1"/>
    <col min="8192" max="8193" width="8.453125" customWidth="1"/>
    <col min="8194" max="8194" width="12.81640625" bestFit="1" customWidth="1"/>
    <col min="8195" max="8195" width="11.453125" customWidth="1"/>
    <col min="8196" max="8197" width="9.1796875" customWidth="1"/>
    <col min="8198" max="8198" width="20.81640625" customWidth="1"/>
    <col min="8199" max="8199" width="11.81640625" customWidth="1"/>
    <col min="8200" max="8443" width="11.453125" customWidth="1"/>
    <col min="8444" max="8444" width="3.81640625" customWidth="1"/>
    <col min="8445" max="8445" width="37.81640625" customWidth="1"/>
    <col min="8446" max="8446" width="8.81640625" customWidth="1"/>
    <col min="8447" max="8447" width="12.54296875" customWidth="1"/>
    <col min="8448" max="8449" width="8.453125" customWidth="1"/>
    <col min="8450" max="8450" width="12.81640625" bestFit="1" customWidth="1"/>
    <col min="8451" max="8451" width="11.453125" customWidth="1"/>
    <col min="8452" max="8453" width="9.1796875" customWidth="1"/>
    <col min="8454" max="8454" width="20.81640625" customWidth="1"/>
    <col min="8455" max="8455" width="11.81640625" customWidth="1"/>
    <col min="8456" max="8699" width="11.453125" customWidth="1"/>
    <col min="8700" max="8700" width="3.81640625" customWidth="1"/>
    <col min="8701" max="8701" width="37.81640625" customWidth="1"/>
    <col min="8702" max="8702" width="8.81640625" customWidth="1"/>
    <col min="8703" max="8703" width="12.54296875" customWidth="1"/>
    <col min="8704" max="8705" width="8.453125" customWidth="1"/>
    <col min="8706" max="8706" width="12.81640625" bestFit="1" customWidth="1"/>
    <col min="8707" max="8707" width="11.453125" customWidth="1"/>
    <col min="8708" max="8709" width="9.1796875" customWidth="1"/>
    <col min="8710" max="8710" width="20.81640625" customWidth="1"/>
    <col min="8711" max="8711" width="11.81640625" customWidth="1"/>
    <col min="8712" max="8955" width="11.453125" customWidth="1"/>
    <col min="8956" max="8956" width="3.81640625" customWidth="1"/>
    <col min="8957" max="8957" width="37.81640625" customWidth="1"/>
    <col min="8958" max="8958" width="8.81640625" customWidth="1"/>
    <col min="8959" max="8959" width="12.54296875" customWidth="1"/>
    <col min="8960" max="8961" width="8.453125" customWidth="1"/>
    <col min="8962" max="8962" width="12.81640625" bestFit="1" customWidth="1"/>
    <col min="8963" max="8963" width="11.453125" customWidth="1"/>
    <col min="8964" max="8965" width="9.1796875" customWidth="1"/>
    <col min="8966" max="8966" width="20.81640625" customWidth="1"/>
    <col min="8967" max="8967" width="11.81640625" customWidth="1"/>
    <col min="8968" max="9211" width="11.453125" customWidth="1"/>
    <col min="9212" max="9212" width="3.81640625" customWidth="1"/>
    <col min="9213" max="9213" width="37.81640625" customWidth="1"/>
    <col min="9214" max="9214" width="8.81640625" customWidth="1"/>
    <col min="9215" max="9215" width="12.54296875" customWidth="1"/>
    <col min="9216" max="9217" width="8.453125" customWidth="1"/>
    <col min="9218" max="9218" width="12.81640625" bestFit="1" customWidth="1"/>
    <col min="9219" max="9219" width="11.453125" customWidth="1"/>
    <col min="9220" max="9221" width="9.1796875" customWidth="1"/>
    <col min="9222" max="9222" width="20.81640625" customWidth="1"/>
    <col min="9223" max="9223" width="11.81640625" customWidth="1"/>
    <col min="9224" max="9467" width="11.453125" customWidth="1"/>
    <col min="9468" max="9468" width="3.81640625" customWidth="1"/>
    <col min="9469" max="9469" width="37.81640625" customWidth="1"/>
    <col min="9470" max="9470" width="8.81640625" customWidth="1"/>
    <col min="9471" max="9471" width="12.54296875" customWidth="1"/>
    <col min="9472" max="9473" width="8.453125" customWidth="1"/>
    <col min="9474" max="9474" width="12.81640625" bestFit="1" customWidth="1"/>
    <col min="9475" max="9475" width="11.453125" customWidth="1"/>
    <col min="9476" max="9477" width="9.1796875" customWidth="1"/>
    <col min="9478" max="9478" width="20.81640625" customWidth="1"/>
    <col min="9479" max="9479" width="11.81640625" customWidth="1"/>
    <col min="9480" max="9723" width="11.453125" customWidth="1"/>
    <col min="9724" max="9724" width="3.81640625" customWidth="1"/>
    <col min="9725" max="9725" width="37.81640625" customWidth="1"/>
    <col min="9726" max="9726" width="8.81640625" customWidth="1"/>
    <col min="9727" max="9727" width="12.54296875" customWidth="1"/>
    <col min="9728" max="9729" width="8.453125" customWidth="1"/>
    <col min="9730" max="9730" width="12.81640625" bestFit="1" customWidth="1"/>
    <col min="9731" max="9731" width="11.453125" customWidth="1"/>
    <col min="9732" max="9733" width="9.1796875" customWidth="1"/>
    <col min="9734" max="9734" width="20.81640625" customWidth="1"/>
    <col min="9735" max="9735" width="11.81640625" customWidth="1"/>
    <col min="9736" max="9979" width="11.453125" customWidth="1"/>
    <col min="9980" max="9980" width="3.81640625" customWidth="1"/>
    <col min="9981" max="9981" width="37.81640625" customWidth="1"/>
    <col min="9982" max="9982" width="8.81640625" customWidth="1"/>
    <col min="9983" max="9983" width="12.54296875" customWidth="1"/>
    <col min="9984" max="9985" width="8.453125" customWidth="1"/>
    <col min="9986" max="9986" width="12.81640625" bestFit="1" customWidth="1"/>
    <col min="9987" max="9987" width="11.453125" customWidth="1"/>
    <col min="9988" max="9989" width="9.1796875" customWidth="1"/>
    <col min="9990" max="9990" width="20.81640625" customWidth="1"/>
    <col min="9991" max="9991" width="11.81640625" customWidth="1"/>
    <col min="9992" max="10235" width="11.453125" customWidth="1"/>
    <col min="10236" max="10236" width="3.81640625" customWidth="1"/>
    <col min="10237" max="10237" width="37.81640625" customWidth="1"/>
    <col min="10238" max="10238" width="8.81640625" customWidth="1"/>
    <col min="10239" max="10239" width="12.54296875" customWidth="1"/>
    <col min="10240" max="10241" width="8.453125" customWidth="1"/>
    <col min="10242" max="10242" width="12.81640625" bestFit="1" customWidth="1"/>
    <col min="10243" max="10243" width="11.453125" customWidth="1"/>
    <col min="10244" max="10245" width="9.1796875" customWidth="1"/>
    <col min="10246" max="10246" width="20.81640625" customWidth="1"/>
    <col min="10247" max="10247" width="11.81640625" customWidth="1"/>
    <col min="10248" max="10491" width="11.453125" customWidth="1"/>
    <col min="10492" max="10492" width="3.81640625" customWidth="1"/>
    <col min="10493" max="10493" width="37.81640625" customWidth="1"/>
    <col min="10494" max="10494" width="8.81640625" customWidth="1"/>
    <col min="10495" max="10495" width="12.54296875" customWidth="1"/>
    <col min="10496" max="10497" width="8.453125" customWidth="1"/>
    <col min="10498" max="10498" width="12.81640625" bestFit="1" customWidth="1"/>
    <col min="10499" max="10499" width="11.453125" customWidth="1"/>
    <col min="10500" max="10501" width="9.1796875" customWidth="1"/>
    <col min="10502" max="10502" width="20.81640625" customWidth="1"/>
    <col min="10503" max="10503" width="11.81640625" customWidth="1"/>
    <col min="10504" max="10747" width="11.453125" customWidth="1"/>
    <col min="10748" max="10748" width="3.81640625" customWidth="1"/>
    <col min="10749" max="10749" width="37.81640625" customWidth="1"/>
    <col min="10750" max="10750" width="8.81640625" customWidth="1"/>
    <col min="10751" max="10751" width="12.54296875" customWidth="1"/>
    <col min="10752" max="10753" width="8.453125" customWidth="1"/>
    <col min="10754" max="10754" width="12.81640625" bestFit="1" customWidth="1"/>
    <col min="10755" max="10755" width="11.453125" customWidth="1"/>
    <col min="10756" max="10757" width="9.1796875" customWidth="1"/>
    <col min="10758" max="10758" width="20.81640625" customWidth="1"/>
    <col min="10759" max="10759" width="11.81640625" customWidth="1"/>
    <col min="10760" max="11003" width="11.453125" customWidth="1"/>
    <col min="11004" max="11004" width="3.81640625" customWidth="1"/>
    <col min="11005" max="11005" width="37.81640625" customWidth="1"/>
    <col min="11006" max="11006" width="8.81640625" customWidth="1"/>
    <col min="11007" max="11007" width="12.54296875" customWidth="1"/>
    <col min="11008" max="11009" width="8.453125" customWidth="1"/>
    <col min="11010" max="11010" width="12.81640625" bestFit="1" customWidth="1"/>
    <col min="11011" max="11011" width="11.453125" customWidth="1"/>
    <col min="11012" max="11013" width="9.1796875" customWidth="1"/>
    <col min="11014" max="11014" width="20.81640625" customWidth="1"/>
    <col min="11015" max="11015" width="11.81640625" customWidth="1"/>
    <col min="11016" max="11259" width="11.453125" customWidth="1"/>
    <col min="11260" max="11260" width="3.81640625" customWidth="1"/>
    <col min="11261" max="11261" width="37.81640625" customWidth="1"/>
    <col min="11262" max="11262" width="8.81640625" customWidth="1"/>
    <col min="11263" max="11263" width="12.54296875" customWidth="1"/>
    <col min="11264" max="11265" width="8.453125" customWidth="1"/>
    <col min="11266" max="11266" width="12.81640625" bestFit="1" customWidth="1"/>
    <col min="11267" max="11267" width="11.453125" customWidth="1"/>
    <col min="11268" max="11269" width="9.1796875" customWidth="1"/>
    <col min="11270" max="11270" width="20.81640625" customWidth="1"/>
    <col min="11271" max="11271" width="11.81640625" customWidth="1"/>
    <col min="11272" max="11515" width="11.453125" customWidth="1"/>
    <col min="11516" max="11516" width="3.81640625" customWidth="1"/>
    <col min="11517" max="11517" width="37.81640625" customWidth="1"/>
    <col min="11518" max="11518" width="8.81640625" customWidth="1"/>
    <col min="11519" max="11519" width="12.54296875" customWidth="1"/>
    <col min="11520" max="11521" width="8.453125" customWidth="1"/>
    <col min="11522" max="11522" width="12.81640625" bestFit="1" customWidth="1"/>
    <col min="11523" max="11523" width="11.453125" customWidth="1"/>
    <col min="11524" max="11525" width="9.1796875" customWidth="1"/>
    <col min="11526" max="11526" width="20.81640625" customWidth="1"/>
    <col min="11527" max="11527" width="11.81640625" customWidth="1"/>
    <col min="11528" max="11771" width="11.453125" customWidth="1"/>
    <col min="11772" max="11772" width="3.81640625" customWidth="1"/>
    <col min="11773" max="11773" width="37.81640625" customWidth="1"/>
    <col min="11774" max="11774" width="8.81640625" customWidth="1"/>
    <col min="11775" max="11775" width="12.54296875" customWidth="1"/>
    <col min="11776" max="11777" width="8.453125" customWidth="1"/>
    <col min="11778" max="11778" width="12.81640625" bestFit="1" customWidth="1"/>
    <col min="11779" max="11779" width="11.453125" customWidth="1"/>
    <col min="11780" max="11781" width="9.1796875" customWidth="1"/>
    <col min="11782" max="11782" width="20.81640625" customWidth="1"/>
    <col min="11783" max="11783" width="11.81640625" customWidth="1"/>
    <col min="11784" max="12027" width="11.453125" customWidth="1"/>
    <col min="12028" max="12028" width="3.81640625" customWidth="1"/>
    <col min="12029" max="12029" width="37.81640625" customWidth="1"/>
    <col min="12030" max="12030" width="8.81640625" customWidth="1"/>
    <col min="12031" max="12031" width="12.54296875" customWidth="1"/>
    <col min="12032" max="12033" width="8.453125" customWidth="1"/>
    <col min="12034" max="12034" width="12.81640625" bestFit="1" customWidth="1"/>
    <col min="12035" max="12035" width="11.453125" customWidth="1"/>
    <col min="12036" max="12037" width="9.1796875" customWidth="1"/>
    <col min="12038" max="12038" width="20.81640625" customWidth="1"/>
    <col min="12039" max="12039" width="11.81640625" customWidth="1"/>
    <col min="12040" max="12283" width="11.453125" customWidth="1"/>
    <col min="12284" max="12284" width="3.81640625" customWidth="1"/>
    <col min="12285" max="12285" width="37.81640625" customWidth="1"/>
    <col min="12286" max="12286" width="8.81640625" customWidth="1"/>
    <col min="12287" max="12287" width="12.54296875" customWidth="1"/>
    <col min="12288" max="12289" width="8.453125" customWidth="1"/>
    <col min="12290" max="12290" width="12.81640625" bestFit="1" customWidth="1"/>
    <col min="12291" max="12291" width="11.453125" customWidth="1"/>
    <col min="12292" max="12293" width="9.1796875" customWidth="1"/>
    <col min="12294" max="12294" width="20.81640625" customWidth="1"/>
    <col min="12295" max="12295" width="11.81640625" customWidth="1"/>
    <col min="12296" max="12539" width="11.453125" customWidth="1"/>
    <col min="12540" max="12540" width="3.81640625" customWidth="1"/>
    <col min="12541" max="12541" width="37.81640625" customWidth="1"/>
    <col min="12542" max="12542" width="8.81640625" customWidth="1"/>
    <col min="12543" max="12543" width="12.54296875" customWidth="1"/>
    <col min="12544" max="12545" width="8.453125" customWidth="1"/>
    <col min="12546" max="12546" width="12.81640625" bestFit="1" customWidth="1"/>
    <col min="12547" max="12547" width="11.453125" customWidth="1"/>
    <col min="12548" max="12549" width="9.1796875" customWidth="1"/>
    <col min="12550" max="12550" width="20.81640625" customWidth="1"/>
    <col min="12551" max="12551" width="11.81640625" customWidth="1"/>
    <col min="12552" max="12795" width="11.453125" customWidth="1"/>
    <col min="12796" max="12796" width="3.81640625" customWidth="1"/>
    <col min="12797" max="12797" width="37.81640625" customWidth="1"/>
    <col min="12798" max="12798" width="8.81640625" customWidth="1"/>
    <col min="12799" max="12799" width="12.54296875" customWidth="1"/>
    <col min="12800" max="12801" width="8.453125" customWidth="1"/>
    <col min="12802" max="12802" width="12.81640625" bestFit="1" customWidth="1"/>
    <col min="12803" max="12803" width="11.453125" customWidth="1"/>
    <col min="12804" max="12805" width="9.1796875" customWidth="1"/>
    <col min="12806" max="12806" width="20.81640625" customWidth="1"/>
    <col min="12807" max="12807" width="11.81640625" customWidth="1"/>
    <col min="12808" max="13051" width="11.453125" customWidth="1"/>
    <col min="13052" max="13052" width="3.81640625" customWidth="1"/>
    <col min="13053" max="13053" width="37.81640625" customWidth="1"/>
    <col min="13054" max="13054" width="8.81640625" customWidth="1"/>
    <col min="13055" max="13055" width="12.54296875" customWidth="1"/>
    <col min="13056" max="13057" width="8.453125" customWidth="1"/>
    <col min="13058" max="13058" width="12.81640625" bestFit="1" customWidth="1"/>
    <col min="13059" max="13059" width="11.453125" customWidth="1"/>
    <col min="13060" max="13061" width="9.1796875" customWidth="1"/>
    <col min="13062" max="13062" width="20.81640625" customWidth="1"/>
    <col min="13063" max="13063" width="11.81640625" customWidth="1"/>
    <col min="13064" max="13307" width="11.453125" customWidth="1"/>
    <col min="13308" max="13308" width="3.81640625" customWidth="1"/>
    <col min="13309" max="13309" width="37.81640625" customWidth="1"/>
    <col min="13310" max="13310" width="8.81640625" customWidth="1"/>
    <col min="13311" max="13311" width="12.54296875" customWidth="1"/>
    <col min="13312" max="13313" width="8.453125" customWidth="1"/>
    <col min="13314" max="13314" width="12.81640625" bestFit="1" customWidth="1"/>
    <col min="13315" max="13315" width="11.453125" customWidth="1"/>
    <col min="13316" max="13317" width="9.1796875" customWidth="1"/>
    <col min="13318" max="13318" width="20.81640625" customWidth="1"/>
    <col min="13319" max="13319" width="11.81640625" customWidth="1"/>
    <col min="13320" max="13563" width="11.453125" customWidth="1"/>
    <col min="13564" max="13564" width="3.81640625" customWidth="1"/>
    <col min="13565" max="13565" width="37.81640625" customWidth="1"/>
    <col min="13566" max="13566" width="8.81640625" customWidth="1"/>
    <col min="13567" max="13567" width="12.54296875" customWidth="1"/>
    <col min="13568" max="13569" width="8.453125" customWidth="1"/>
    <col min="13570" max="13570" width="12.81640625" bestFit="1" customWidth="1"/>
    <col min="13571" max="13571" width="11.453125" customWidth="1"/>
    <col min="13572" max="13573" width="9.1796875" customWidth="1"/>
    <col min="13574" max="13574" width="20.81640625" customWidth="1"/>
    <col min="13575" max="13575" width="11.81640625" customWidth="1"/>
    <col min="13576" max="13819" width="11.453125" customWidth="1"/>
    <col min="13820" max="13820" width="3.81640625" customWidth="1"/>
    <col min="13821" max="13821" width="37.81640625" customWidth="1"/>
    <col min="13822" max="13822" width="8.81640625" customWidth="1"/>
    <col min="13823" max="13823" width="12.54296875" customWidth="1"/>
    <col min="13824" max="13825" width="8.453125" customWidth="1"/>
    <col min="13826" max="13826" width="12.81640625" bestFit="1" customWidth="1"/>
    <col min="13827" max="13827" width="11.453125" customWidth="1"/>
    <col min="13828" max="13829" width="9.1796875" customWidth="1"/>
    <col min="13830" max="13830" width="20.81640625" customWidth="1"/>
    <col min="13831" max="13831" width="11.81640625" customWidth="1"/>
    <col min="13832" max="14075" width="11.453125" customWidth="1"/>
    <col min="14076" max="14076" width="3.81640625" customWidth="1"/>
    <col min="14077" max="14077" width="37.81640625" customWidth="1"/>
    <col min="14078" max="14078" width="8.81640625" customWidth="1"/>
    <col min="14079" max="14079" width="12.54296875" customWidth="1"/>
    <col min="14080" max="14081" width="8.453125" customWidth="1"/>
    <col min="14082" max="14082" width="12.81640625" bestFit="1" customWidth="1"/>
    <col min="14083" max="14083" width="11.453125" customWidth="1"/>
    <col min="14084" max="14085" width="9.1796875" customWidth="1"/>
    <col min="14086" max="14086" width="20.81640625" customWidth="1"/>
    <col min="14087" max="14087" width="11.81640625" customWidth="1"/>
    <col min="14088" max="14331" width="11.453125" customWidth="1"/>
    <col min="14332" max="14332" width="3.81640625" customWidth="1"/>
    <col min="14333" max="14333" width="37.81640625" customWidth="1"/>
    <col min="14334" max="14334" width="8.81640625" customWidth="1"/>
    <col min="14335" max="14335" width="12.54296875" customWidth="1"/>
    <col min="14336" max="14337" width="8.453125" customWidth="1"/>
    <col min="14338" max="14338" width="12.81640625" bestFit="1" customWidth="1"/>
    <col min="14339" max="14339" width="11.453125" customWidth="1"/>
    <col min="14340" max="14341" width="9.1796875" customWidth="1"/>
    <col min="14342" max="14342" width="20.81640625" customWidth="1"/>
    <col min="14343" max="14343" width="11.81640625" customWidth="1"/>
    <col min="14344" max="14587" width="11.453125" customWidth="1"/>
    <col min="14588" max="14588" width="3.81640625" customWidth="1"/>
    <col min="14589" max="14589" width="37.81640625" customWidth="1"/>
    <col min="14590" max="14590" width="8.81640625" customWidth="1"/>
    <col min="14591" max="14591" width="12.54296875" customWidth="1"/>
    <col min="14592" max="14593" width="8.453125" customWidth="1"/>
    <col min="14594" max="14594" width="12.81640625" bestFit="1" customWidth="1"/>
    <col min="14595" max="14595" width="11.453125" customWidth="1"/>
    <col min="14596" max="14597" width="9.1796875" customWidth="1"/>
    <col min="14598" max="14598" width="20.81640625" customWidth="1"/>
    <col min="14599" max="14599" width="11.81640625" customWidth="1"/>
    <col min="14600" max="14843" width="11.453125" customWidth="1"/>
    <col min="14844" max="14844" width="3.81640625" customWidth="1"/>
    <col min="14845" max="14845" width="37.81640625" customWidth="1"/>
    <col min="14846" max="14846" width="8.81640625" customWidth="1"/>
    <col min="14847" max="14847" width="12.54296875" customWidth="1"/>
    <col min="14848" max="14849" width="8.453125" customWidth="1"/>
    <col min="14850" max="14850" width="12.81640625" bestFit="1" customWidth="1"/>
    <col min="14851" max="14851" width="11.453125" customWidth="1"/>
    <col min="14852" max="14853" width="9.1796875" customWidth="1"/>
    <col min="14854" max="14854" width="20.81640625" customWidth="1"/>
    <col min="14855" max="14855" width="11.81640625" customWidth="1"/>
    <col min="14856" max="15099" width="11.453125" customWidth="1"/>
    <col min="15100" max="15100" width="3.81640625" customWidth="1"/>
    <col min="15101" max="15101" width="37.81640625" customWidth="1"/>
    <col min="15102" max="15102" width="8.81640625" customWidth="1"/>
    <col min="15103" max="15103" width="12.54296875" customWidth="1"/>
    <col min="15104" max="15105" width="8.453125" customWidth="1"/>
    <col min="15106" max="15106" width="12.81640625" bestFit="1" customWidth="1"/>
    <col min="15107" max="15107" width="11.453125" customWidth="1"/>
    <col min="15108" max="15109" width="9.1796875" customWidth="1"/>
    <col min="15110" max="15110" width="20.81640625" customWidth="1"/>
    <col min="15111" max="15111" width="11.81640625" customWidth="1"/>
    <col min="15112" max="15355" width="11.453125" customWidth="1"/>
    <col min="15356" max="15356" width="3.81640625" customWidth="1"/>
    <col min="15357" max="15357" width="37.81640625" customWidth="1"/>
    <col min="15358" max="15358" width="8.81640625" customWidth="1"/>
    <col min="15359" max="15359" width="12.54296875" customWidth="1"/>
    <col min="15360" max="15361" width="8.453125" customWidth="1"/>
    <col min="15362" max="15362" width="12.81640625" bestFit="1" customWidth="1"/>
    <col min="15363" max="15363" width="11.453125" customWidth="1"/>
    <col min="15364" max="15365" width="9.1796875" customWidth="1"/>
    <col min="15366" max="15366" width="20.81640625" customWidth="1"/>
    <col min="15367" max="15367" width="11.81640625" customWidth="1"/>
    <col min="15368" max="15611" width="11.453125" customWidth="1"/>
    <col min="15612" max="15612" width="3.81640625" customWidth="1"/>
    <col min="15613" max="15613" width="37.81640625" customWidth="1"/>
    <col min="15614" max="15614" width="8.81640625" customWidth="1"/>
    <col min="15615" max="15615" width="12.54296875" customWidth="1"/>
    <col min="15616" max="15617" width="8.453125" customWidth="1"/>
    <col min="15618" max="15618" width="12.81640625" bestFit="1" customWidth="1"/>
    <col min="15619" max="15619" width="11.453125" customWidth="1"/>
    <col min="15620" max="15621" width="9.1796875" customWidth="1"/>
    <col min="15622" max="15622" width="20.81640625" customWidth="1"/>
    <col min="15623" max="15623" width="11.81640625" customWidth="1"/>
    <col min="15624" max="15867" width="11.453125" customWidth="1"/>
    <col min="15868" max="15868" width="3.81640625" customWidth="1"/>
    <col min="15869" max="15869" width="37.81640625" customWidth="1"/>
    <col min="15870" max="15870" width="8.81640625" customWidth="1"/>
    <col min="15871" max="15871" width="12.54296875" customWidth="1"/>
    <col min="15872" max="15873" width="8.453125" customWidth="1"/>
    <col min="15874" max="15874" width="12.81640625" bestFit="1" customWidth="1"/>
    <col min="15875" max="15875" width="11.453125" customWidth="1"/>
    <col min="15876" max="15877" width="9.1796875" customWidth="1"/>
    <col min="15878" max="15878" width="20.81640625" customWidth="1"/>
    <col min="15879" max="15879" width="11.81640625" customWidth="1"/>
    <col min="15880" max="16123" width="11.453125" customWidth="1"/>
    <col min="16124" max="16124" width="3.81640625" customWidth="1"/>
    <col min="16125" max="16125" width="37.81640625" customWidth="1"/>
    <col min="16126" max="16126" width="8.81640625" customWidth="1"/>
    <col min="16127" max="16127" width="12.54296875" customWidth="1"/>
    <col min="16128" max="16129" width="8.453125" customWidth="1"/>
    <col min="16130" max="16130" width="12.81640625" bestFit="1" customWidth="1"/>
    <col min="16131" max="16131" width="11.453125" customWidth="1"/>
    <col min="16132" max="16133" width="9.1796875" customWidth="1"/>
    <col min="16134" max="16134" width="20.81640625" customWidth="1"/>
    <col min="16135" max="16135" width="11.81640625" customWidth="1"/>
    <col min="16136" max="16384" width="11.453125" customWidth="1"/>
  </cols>
  <sheetData>
    <row r="1" spans="1:12" ht="17.25" customHeight="1" thickTop="1" x14ac:dyDescent="0.35">
      <c r="A1" s="159"/>
      <c r="B1" s="160"/>
      <c r="C1" s="165" t="s">
        <v>137</v>
      </c>
      <c r="D1" s="166"/>
      <c r="E1" s="166"/>
      <c r="F1" s="166"/>
      <c r="G1" s="166"/>
      <c r="H1" s="166"/>
    </row>
    <row r="2" spans="1:12" ht="28.5" customHeight="1" x14ac:dyDescent="0.35">
      <c r="A2" s="161"/>
      <c r="B2" s="162"/>
      <c r="C2" s="167"/>
      <c r="D2" s="168"/>
      <c r="E2" s="168"/>
      <c r="F2" s="168"/>
      <c r="G2" s="168"/>
      <c r="H2" s="168"/>
    </row>
    <row r="3" spans="1:12" ht="31.5" customHeight="1" x14ac:dyDescent="0.35">
      <c r="A3" s="163"/>
      <c r="B3" s="164"/>
      <c r="C3" s="169"/>
      <c r="D3" s="170"/>
      <c r="E3" s="170"/>
      <c r="F3" s="170"/>
      <c r="G3" s="170"/>
      <c r="H3" s="170"/>
    </row>
    <row r="4" spans="1:12" s="4" customFormat="1" ht="12.75" customHeight="1" x14ac:dyDescent="0.2">
      <c r="A4" s="102"/>
      <c r="B4" s="89"/>
      <c r="C4" s="171" t="s">
        <v>0</v>
      </c>
      <c r="D4" s="171"/>
      <c r="E4" s="171"/>
      <c r="F4" s="171"/>
      <c r="G4" s="172"/>
      <c r="H4" s="149">
        <v>607.65599999999995</v>
      </c>
    </row>
    <row r="5" spans="1:12" s="103" customFormat="1" ht="12.75" customHeight="1" x14ac:dyDescent="0.25">
      <c r="A5" s="173"/>
      <c r="B5" s="174" t="s">
        <v>3</v>
      </c>
      <c r="C5" s="175" t="s">
        <v>4</v>
      </c>
      <c r="D5" s="175" t="s">
        <v>5</v>
      </c>
      <c r="E5" s="177" t="s">
        <v>6</v>
      </c>
      <c r="F5" s="178"/>
      <c r="G5" s="179" t="s">
        <v>7</v>
      </c>
      <c r="H5" s="147" t="s">
        <v>8</v>
      </c>
    </row>
    <row r="6" spans="1:12" s="103" customFormat="1" ht="12.75" customHeight="1" x14ac:dyDescent="0.25">
      <c r="A6" s="173"/>
      <c r="B6" s="174"/>
      <c r="C6" s="176"/>
      <c r="D6" s="176"/>
      <c r="E6" s="104" t="s">
        <v>9</v>
      </c>
      <c r="F6" s="142" t="s">
        <v>10</v>
      </c>
      <c r="G6" s="180"/>
      <c r="H6" s="148"/>
    </row>
    <row r="7" spans="1:12" s="103" customFormat="1" ht="26" x14ac:dyDescent="0.25">
      <c r="A7" s="105">
        <v>1</v>
      </c>
      <c r="B7" s="106" t="s">
        <v>101</v>
      </c>
      <c r="C7" s="107"/>
      <c r="D7" s="108"/>
      <c r="E7" s="107"/>
      <c r="F7" s="107"/>
      <c r="G7" s="109">
        <f>SUM(G8:G16)</f>
        <v>3610200</v>
      </c>
      <c r="H7" s="154">
        <f>G7/$H$4</f>
        <v>5941.1904103637589</v>
      </c>
    </row>
    <row r="8" spans="1:12" s="113" customFormat="1" ht="13" x14ac:dyDescent="0.35">
      <c r="A8" s="110"/>
      <c r="B8" s="111" t="s">
        <v>12</v>
      </c>
      <c r="C8" s="112">
        <v>24</v>
      </c>
      <c r="D8" s="112">
        <v>3000</v>
      </c>
      <c r="E8" s="112" t="s">
        <v>13</v>
      </c>
      <c r="F8" s="112">
        <v>5</v>
      </c>
      <c r="G8" s="112">
        <f>+C8*D8*F8</f>
        <v>360000</v>
      </c>
      <c r="H8" s="155">
        <f t="shared" ref="H8:H57" si="0">G8/$H$4</f>
        <v>592.44045973379684</v>
      </c>
      <c r="L8" s="114"/>
    </row>
    <row r="9" spans="1:12" s="113" customFormat="1" ht="13" x14ac:dyDescent="0.35">
      <c r="A9" s="110"/>
      <c r="B9" s="111" t="s">
        <v>117</v>
      </c>
      <c r="C9" s="112">
        <v>24</v>
      </c>
      <c r="D9" s="112">
        <v>2500</v>
      </c>
      <c r="E9" s="112" t="s">
        <v>13</v>
      </c>
      <c r="F9" s="112">
        <v>5</v>
      </c>
      <c r="G9" s="112">
        <f>+C9*D9*F9</f>
        <v>300000</v>
      </c>
      <c r="H9" s="155">
        <f t="shared" si="0"/>
        <v>493.70038311149733</v>
      </c>
    </row>
    <row r="10" spans="1:12" s="113" customFormat="1" ht="13" x14ac:dyDescent="0.35">
      <c r="A10" s="110"/>
      <c r="B10" s="111" t="s">
        <v>15</v>
      </c>
      <c r="C10" s="112">
        <v>24</v>
      </c>
      <c r="D10" s="112">
        <v>11500</v>
      </c>
      <c r="E10" s="112" t="s">
        <v>13</v>
      </c>
      <c r="F10" s="112">
        <v>5</v>
      </c>
      <c r="G10" s="112">
        <f>+C10*D10*F10</f>
        <v>1380000</v>
      </c>
      <c r="H10" s="155">
        <f t="shared" si="0"/>
        <v>2271.0217623128879</v>
      </c>
    </row>
    <row r="11" spans="1:12" s="113" customFormat="1" ht="13" x14ac:dyDescent="0.35">
      <c r="A11" s="110"/>
      <c r="B11" s="111" t="s">
        <v>120</v>
      </c>
      <c r="C11" s="112">
        <v>24</v>
      </c>
      <c r="D11" s="112">
        <v>800</v>
      </c>
      <c r="E11" s="112" t="s">
        <v>13</v>
      </c>
      <c r="F11" s="112">
        <v>5</v>
      </c>
      <c r="G11" s="112">
        <f>+C11*D11*F11</f>
        <v>96000</v>
      </c>
      <c r="H11" s="155">
        <f t="shared" si="0"/>
        <v>157.98412259567914</v>
      </c>
    </row>
    <row r="12" spans="1:12" s="113" customFormat="1" ht="13" x14ac:dyDescent="0.35">
      <c r="A12" s="110"/>
      <c r="B12" s="115" t="s">
        <v>119</v>
      </c>
      <c r="C12" s="112">
        <v>1</v>
      </c>
      <c r="D12" s="112">
        <v>250000</v>
      </c>
      <c r="E12" s="112" t="s">
        <v>13</v>
      </c>
      <c r="F12" s="112">
        <v>5</v>
      </c>
      <c r="G12" s="112">
        <f>+C12*D12*F12</f>
        <v>1250000</v>
      </c>
      <c r="H12" s="155">
        <f t="shared" si="0"/>
        <v>2057.084929631239</v>
      </c>
    </row>
    <row r="13" spans="1:12" s="113" customFormat="1" ht="13" x14ac:dyDescent="0.35">
      <c r="A13" s="110"/>
      <c r="B13" s="145" t="s">
        <v>133</v>
      </c>
      <c r="C13" s="112">
        <v>1</v>
      </c>
      <c r="D13" s="116"/>
      <c r="E13" s="116"/>
      <c r="F13" s="116"/>
      <c r="G13" s="112">
        <v>80000</v>
      </c>
      <c r="H13" s="155">
        <f t="shared" si="0"/>
        <v>131.65343549639928</v>
      </c>
    </row>
    <row r="14" spans="1:12" s="113" customFormat="1" ht="27.5" x14ac:dyDescent="0.35">
      <c r="A14" s="110"/>
      <c r="B14" s="111" t="s">
        <v>138</v>
      </c>
      <c r="C14" s="112">
        <v>2</v>
      </c>
      <c r="D14" s="112">
        <v>50000</v>
      </c>
      <c r="E14" s="112" t="s">
        <v>13</v>
      </c>
      <c r="F14" s="112">
        <v>1</v>
      </c>
      <c r="G14" s="112">
        <f>+C14*D14*F14</f>
        <v>100000</v>
      </c>
      <c r="H14" s="155">
        <f t="shared" si="0"/>
        <v>164.56679437049911</v>
      </c>
    </row>
    <row r="15" spans="1:12" s="113" customFormat="1" ht="13" x14ac:dyDescent="0.35">
      <c r="A15" s="110"/>
      <c r="B15" s="111" t="s">
        <v>100</v>
      </c>
      <c r="C15" s="141">
        <v>1</v>
      </c>
      <c r="D15" s="112">
        <v>150</v>
      </c>
      <c r="E15" s="112" t="s">
        <v>113</v>
      </c>
      <c r="F15" s="112">
        <v>228</v>
      </c>
      <c r="G15" s="112">
        <f>+C15*D15*F15</f>
        <v>34200</v>
      </c>
      <c r="H15" s="155">
        <f t="shared" si="0"/>
        <v>56.281843674710693</v>
      </c>
    </row>
    <row r="16" spans="1:12" s="113" customFormat="1" ht="13" x14ac:dyDescent="0.35">
      <c r="A16" s="110"/>
      <c r="B16" s="111" t="s">
        <v>116</v>
      </c>
      <c r="C16" s="112">
        <v>1</v>
      </c>
      <c r="D16" s="116"/>
      <c r="E16" s="116"/>
      <c r="F16" s="116"/>
      <c r="G16" s="112">
        <v>10000</v>
      </c>
      <c r="H16" s="155">
        <f t="shared" si="0"/>
        <v>16.45667943704991</v>
      </c>
    </row>
    <row r="17" spans="1:14" s="103" customFormat="1" ht="13" x14ac:dyDescent="0.25">
      <c r="A17" s="105">
        <v>2</v>
      </c>
      <c r="B17" s="106" t="s">
        <v>20</v>
      </c>
      <c r="C17" s="107"/>
      <c r="D17" s="108"/>
      <c r="E17" s="107"/>
      <c r="F17" s="107"/>
      <c r="G17" s="117">
        <f>SUM(G18:G23)</f>
        <v>67600</v>
      </c>
      <c r="H17" s="154">
        <f t="shared" si="0"/>
        <v>111.24715299445739</v>
      </c>
    </row>
    <row r="18" spans="1:14" s="103" customFormat="1" ht="13" x14ac:dyDescent="0.25">
      <c r="A18" s="118"/>
      <c r="B18" s="119" t="s">
        <v>22</v>
      </c>
      <c r="C18" s="120">
        <v>20</v>
      </c>
      <c r="D18" s="120">
        <v>100</v>
      </c>
      <c r="E18" s="121"/>
      <c r="F18" s="121"/>
      <c r="G18" s="120">
        <f>+C18*D18</f>
        <v>2000</v>
      </c>
      <c r="H18" s="155">
        <f t="shared" si="0"/>
        <v>3.2913358874099821</v>
      </c>
    </row>
    <row r="19" spans="1:14" s="103" customFormat="1" ht="13" x14ac:dyDescent="0.25">
      <c r="A19" s="122"/>
      <c r="B19" s="119" t="s">
        <v>25</v>
      </c>
      <c r="C19" s="120">
        <v>20</v>
      </c>
      <c r="D19" s="120">
        <v>1500</v>
      </c>
      <c r="E19" s="121"/>
      <c r="F19" s="121"/>
      <c r="G19" s="120">
        <f>+C19*D19</f>
        <v>30000</v>
      </c>
      <c r="H19" s="155">
        <f t="shared" si="0"/>
        <v>49.370038311149735</v>
      </c>
    </row>
    <row r="20" spans="1:14" s="103" customFormat="1" ht="13" x14ac:dyDescent="0.25">
      <c r="A20" s="118"/>
      <c r="B20" s="119" t="s">
        <v>115</v>
      </c>
      <c r="C20" s="120">
        <v>20</v>
      </c>
      <c r="D20" s="120">
        <v>500</v>
      </c>
      <c r="E20" s="121"/>
      <c r="F20" s="121"/>
      <c r="G20" s="120">
        <f t="shared" ref="G20:G22" si="1">+C20*D20</f>
        <v>10000</v>
      </c>
      <c r="H20" s="155">
        <f t="shared" si="0"/>
        <v>16.45667943704991</v>
      </c>
    </row>
    <row r="21" spans="1:14" s="103" customFormat="1" ht="13" x14ac:dyDescent="0.25">
      <c r="A21" s="118"/>
      <c r="B21" s="119" t="s">
        <v>27</v>
      </c>
      <c r="C21" s="120">
        <v>20</v>
      </c>
      <c r="D21" s="120">
        <v>200</v>
      </c>
      <c r="E21" s="121"/>
      <c r="F21" s="121"/>
      <c r="G21" s="120">
        <f t="shared" si="1"/>
        <v>4000</v>
      </c>
      <c r="H21" s="155">
        <f t="shared" si="0"/>
        <v>6.5826717748199641</v>
      </c>
    </row>
    <row r="22" spans="1:14" s="103" customFormat="1" ht="13" x14ac:dyDescent="0.25">
      <c r="A22" s="118"/>
      <c r="B22" s="119" t="s">
        <v>118</v>
      </c>
      <c r="C22" s="120">
        <v>4</v>
      </c>
      <c r="D22" s="120">
        <v>400</v>
      </c>
      <c r="E22" s="121"/>
      <c r="F22" s="121"/>
      <c r="G22" s="120">
        <f t="shared" si="1"/>
        <v>1600</v>
      </c>
      <c r="H22" s="155">
        <f t="shared" si="0"/>
        <v>2.6330687099279859</v>
      </c>
    </row>
    <row r="23" spans="1:14" s="103" customFormat="1" ht="13" x14ac:dyDescent="0.25">
      <c r="A23" s="118"/>
      <c r="B23" s="119" t="s">
        <v>121</v>
      </c>
      <c r="C23" s="120">
        <v>1</v>
      </c>
      <c r="D23" s="120"/>
      <c r="E23" s="121"/>
      <c r="F23" s="121"/>
      <c r="G23" s="120">
        <v>20000</v>
      </c>
      <c r="H23" s="155">
        <f t="shared" si="0"/>
        <v>32.913358874099821</v>
      </c>
    </row>
    <row r="24" spans="1:14" s="103" customFormat="1" ht="13" x14ac:dyDescent="0.25">
      <c r="A24" s="105">
        <v>3</v>
      </c>
      <c r="B24" s="106" t="s">
        <v>147</v>
      </c>
      <c r="C24" s="107"/>
      <c r="D24" s="108"/>
      <c r="E24" s="107"/>
      <c r="F24" s="107"/>
      <c r="G24" s="117">
        <f>SUM(G26:G41)</f>
        <v>14521000</v>
      </c>
      <c r="H24" s="154">
        <f t="shared" si="0"/>
        <v>23896.744210540175</v>
      </c>
    </row>
    <row r="25" spans="1:14" s="113" customFormat="1" ht="13" x14ac:dyDescent="0.35">
      <c r="A25" s="110"/>
      <c r="B25" s="123" t="s">
        <v>148</v>
      </c>
      <c r="C25" s="112"/>
      <c r="D25" s="112"/>
      <c r="E25" s="112"/>
      <c r="F25" s="112"/>
      <c r="G25" s="112"/>
      <c r="H25" s="150">
        <f t="shared" si="0"/>
        <v>0</v>
      </c>
    </row>
    <row r="26" spans="1:14" s="113" customFormat="1" ht="13" x14ac:dyDescent="0.35">
      <c r="A26" s="110"/>
      <c r="B26" s="124" t="s">
        <v>123</v>
      </c>
      <c r="C26" s="112">
        <v>16</v>
      </c>
      <c r="D26" s="112">
        <v>1000</v>
      </c>
      <c r="E26" s="112" t="s">
        <v>110</v>
      </c>
      <c r="F26" s="112">
        <v>16</v>
      </c>
      <c r="G26" s="112">
        <f t="shared" ref="G26:G37" si="2">+C26*D26*F26</f>
        <v>256000</v>
      </c>
      <c r="H26" s="155">
        <f t="shared" si="0"/>
        <v>421.2909935884777</v>
      </c>
    </row>
    <row r="27" spans="1:14" s="113" customFormat="1" ht="13" x14ac:dyDescent="0.35">
      <c r="A27" s="125"/>
      <c r="B27" s="126" t="s">
        <v>109</v>
      </c>
      <c r="C27" s="112">
        <v>4</v>
      </c>
      <c r="D27" s="127">
        <v>2000</v>
      </c>
      <c r="E27" s="127" t="s">
        <v>110</v>
      </c>
      <c r="F27" s="112">
        <v>16</v>
      </c>
      <c r="G27" s="127">
        <f t="shared" si="2"/>
        <v>128000</v>
      </c>
      <c r="H27" s="155">
        <f t="shared" si="0"/>
        <v>210.64549679423885</v>
      </c>
    </row>
    <row r="28" spans="1:14" s="113" customFormat="1" ht="17" customHeight="1" x14ac:dyDescent="0.35">
      <c r="A28" s="110"/>
      <c r="B28" s="124" t="s">
        <v>139</v>
      </c>
      <c r="C28" s="150">
        <v>50</v>
      </c>
      <c r="D28" s="150">
        <v>2500</v>
      </c>
      <c r="E28" s="150" t="s">
        <v>110</v>
      </c>
      <c r="F28" s="150">
        <v>1</v>
      </c>
      <c r="G28" s="150">
        <f>+C28*D28*F28</f>
        <v>125000</v>
      </c>
      <c r="H28" s="155">
        <f t="shared" si="0"/>
        <v>205.70849296312389</v>
      </c>
      <c r="J28" s="189"/>
      <c r="K28" s="189"/>
      <c r="L28" s="189"/>
      <c r="M28" s="189"/>
      <c r="N28" s="189"/>
    </row>
    <row r="29" spans="1:14" s="113" customFormat="1" ht="13" x14ac:dyDescent="0.35">
      <c r="A29" s="110"/>
      <c r="B29" s="226" t="s">
        <v>127</v>
      </c>
      <c r="C29" s="227">
        <v>12</v>
      </c>
      <c r="D29" s="228">
        <v>18000</v>
      </c>
      <c r="E29" s="228" t="s">
        <v>13</v>
      </c>
      <c r="F29" s="228">
        <v>16</v>
      </c>
      <c r="G29" s="228">
        <f>+C29*D29*F29</f>
        <v>3456000</v>
      </c>
      <c r="H29" s="229">
        <f t="shared" si="0"/>
        <v>5687.4284134444497</v>
      </c>
    </row>
    <row r="30" spans="1:14" s="113" customFormat="1" ht="13" x14ac:dyDescent="0.35">
      <c r="A30" s="110"/>
      <c r="B30" s="226" t="s">
        <v>128</v>
      </c>
      <c r="C30" s="227">
        <v>4</v>
      </c>
      <c r="D30" s="228">
        <v>20000</v>
      </c>
      <c r="E30" s="228" t="s">
        <v>13</v>
      </c>
      <c r="F30" s="228">
        <v>16</v>
      </c>
      <c r="G30" s="228">
        <f>+C30*D30*F30</f>
        <v>1280000</v>
      </c>
      <c r="H30" s="229">
        <f t="shared" si="0"/>
        <v>2106.4549679423885</v>
      </c>
    </row>
    <row r="31" spans="1:14" s="113" customFormat="1" ht="13" x14ac:dyDescent="0.35">
      <c r="A31" s="110"/>
      <c r="B31" s="226" t="s">
        <v>124</v>
      </c>
      <c r="C31" s="227">
        <v>2</v>
      </c>
      <c r="D31" s="228">
        <v>25000</v>
      </c>
      <c r="E31" s="228" t="s">
        <v>13</v>
      </c>
      <c r="F31" s="228">
        <v>8</v>
      </c>
      <c r="G31" s="228">
        <f>+C31*D31*F31</f>
        <v>400000</v>
      </c>
      <c r="H31" s="229">
        <f t="shared" si="0"/>
        <v>658.26717748199644</v>
      </c>
    </row>
    <row r="32" spans="1:14" s="113" customFormat="1" ht="13" x14ac:dyDescent="0.35">
      <c r="A32" s="110"/>
      <c r="B32" s="124" t="s">
        <v>129</v>
      </c>
      <c r="C32" s="150">
        <v>2</v>
      </c>
      <c r="D32" s="121"/>
      <c r="E32" s="121"/>
      <c r="F32" s="121"/>
      <c r="G32" s="112">
        <v>20000</v>
      </c>
      <c r="H32" s="155">
        <f t="shared" si="0"/>
        <v>32.913358874099821</v>
      </c>
    </row>
    <row r="33" spans="1:14" s="113" customFormat="1" ht="13" x14ac:dyDescent="0.35">
      <c r="A33" s="110"/>
      <c r="B33" s="124" t="s">
        <v>125</v>
      </c>
      <c r="C33" s="150">
        <v>2</v>
      </c>
      <c r="D33" s="112">
        <v>2000</v>
      </c>
      <c r="E33" s="112" t="s">
        <v>13</v>
      </c>
      <c r="F33" s="112">
        <v>8</v>
      </c>
      <c r="G33" s="112">
        <f t="shared" si="2"/>
        <v>32000</v>
      </c>
      <c r="H33" s="155">
        <f t="shared" si="0"/>
        <v>52.661374198559713</v>
      </c>
    </row>
    <row r="34" spans="1:14" s="113" customFormat="1" ht="13" x14ac:dyDescent="0.35">
      <c r="A34" s="110"/>
      <c r="B34" s="124" t="s">
        <v>135</v>
      </c>
      <c r="C34" s="150">
        <v>4</v>
      </c>
      <c r="D34" s="112">
        <v>20000</v>
      </c>
      <c r="E34" s="121"/>
      <c r="F34" s="121"/>
      <c r="G34" s="112">
        <f>C34*D34</f>
        <v>80000</v>
      </c>
      <c r="H34" s="155">
        <f t="shared" si="0"/>
        <v>131.65343549639928</v>
      </c>
    </row>
    <row r="35" spans="1:14" s="113" customFormat="1" ht="25" customHeight="1" x14ac:dyDescent="0.35">
      <c r="A35" s="110"/>
      <c r="B35" s="124" t="s">
        <v>130</v>
      </c>
      <c r="C35" s="112">
        <v>4</v>
      </c>
      <c r="D35" s="112">
        <v>65000</v>
      </c>
      <c r="E35" s="112" t="s">
        <v>13</v>
      </c>
      <c r="F35" s="112">
        <v>16</v>
      </c>
      <c r="G35" s="112">
        <f>+C35*D35*F35</f>
        <v>4160000</v>
      </c>
      <c r="H35" s="155">
        <f t="shared" si="0"/>
        <v>6845.9786458127628</v>
      </c>
      <c r="J35" s="189"/>
      <c r="K35" s="189"/>
      <c r="L35" s="189"/>
      <c r="M35" s="189"/>
      <c r="N35" s="189"/>
    </row>
    <row r="36" spans="1:14" s="113" customFormat="1" ht="25" customHeight="1" x14ac:dyDescent="0.35">
      <c r="A36" s="110"/>
      <c r="B36" s="124" t="s">
        <v>131</v>
      </c>
      <c r="C36" s="112">
        <v>2</v>
      </c>
      <c r="D36" s="112">
        <v>65000</v>
      </c>
      <c r="E36" s="112" t="s">
        <v>13</v>
      </c>
      <c r="F36" s="112">
        <v>8</v>
      </c>
      <c r="G36" s="112">
        <f>+C36*D36*F36</f>
        <v>1040000</v>
      </c>
      <c r="H36" s="155">
        <f t="shared" si="0"/>
        <v>1711.4946614531907</v>
      </c>
      <c r="J36" s="144"/>
      <c r="K36" s="144"/>
      <c r="L36" s="144"/>
      <c r="M36" s="144"/>
      <c r="N36" s="144"/>
    </row>
    <row r="37" spans="1:14" s="113" customFormat="1" ht="13" x14ac:dyDescent="0.35">
      <c r="A37" s="110"/>
      <c r="B37" s="124" t="s">
        <v>122</v>
      </c>
      <c r="C37" s="112">
        <v>4</v>
      </c>
      <c r="D37" s="112">
        <v>10000</v>
      </c>
      <c r="E37" s="112" t="s">
        <v>13</v>
      </c>
      <c r="F37" s="112">
        <v>12</v>
      </c>
      <c r="G37" s="112">
        <f t="shared" si="2"/>
        <v>480000</v>
      </c>
      <c r="H37" s="155">
        <f t="shared" si="0"/>
        <v>789.92061297839575</v>
      </c>
      <c r="J37" s="190"/>
      <c r="K37" s="190"/>
      <c r="L37" s="190"/>
      <c r="M37" s="190"/>
      <c r="N37" s="190"/>
    </row>
    <row r="38" spans="1:14" s="113" customFormat="1" ht="13" x14ac:dyDescent="0.35">
      <c r="A38" s="110"/>
      <c r="B38" s="124" t="s">
        <v>134</v>
      </c>
      <c r="C38" s="112">
        <v>1</v>
      </c>
      <c r="D38" s="121"/>
      <c r="E38" s="121"/>
      <c r="F38" s="121"/>
      <c r="G38" s="112">
        <v>40000</v>
      </c>
      <c r="H38" s="155">
        <f t="shared" si="0"/>
        <v>65.826717748199641</v>
      </c>
    </row>
    <row r="39" spans="1:14" s="113" customFormat="1" ht="13" x14ac:dyDescent="0.35">
      <c r="A39" s="110"/>
      <c r="B39" s="124" t="s">
        <v>126</v>
      </c>
      <c r="C39" s="112">
        <v>1</v>
      </c>
      <c r="D39" s="121"/>
      <c r="E39" s="121"/>
      <c r="F39" s="121"/>
      <c r="G39" s="112">
        <v>20000</v>
      </c>
      <c r="H39" s="155">
        <f t="shared" si="0"/>
        <v>32.913358874099821</v>
      </c>
    </row>
    <row r="40" spans="1:14" s="113" customFormat="1" ht="13" x14ac:dyDescent="0.35">
      <c r="A40" s="110"/>
      <c r="B40" s="124" t="s">
        <v>111</v>
      </c>
      <c r="C40" s="112">
        <v>1</v>
      </c>
      <c r="D40" s="112">
        <v>3000</v>
      </c>
      <c r="E40" s="112" t="s">
        <v>113</v>
      </c>
      <c r="F40" s="112">
        <v>228</v>
      </c>
      <c r="G40" s="112">
        <f>C40*D40*F40</f>
        <v>684000</v>
      </c>
      <c r="H40" s="155">
        <f t="shared" si="0"/>
        <v>1125.6368734942139</v>
      </c>
    </row>
    <row r="41" spans="1:14" s="113" customFormat="1" ht="13" x14ac:dyDescent="0.35">
      <c r="A41" s="110"/>
      <c r="B41" s="146" t="s">
        <v>136</v>
      </c>
      <c r="C41" s="112">
        <v>16</v>
      </c>
      <c r="D41" s="112">
        <v>145000</v>
      </c>
      <c r="E41" s="112" t="s">
        <v>13</v>
      </c>
      <c r="F41" s="112">
        <v>1</v>
      </c>
      <c r="G41" s="112">
        <f>C41*D41*F41</f>
        <v>2320000</v>
      </c>
      <c r="H41" s="155">
        <f t="shared" si="0"/>
        <v>3817.9496293955794</v>
      </c>
    </row>
    <row r="42" spans="1:14" s="103" customFormat="1" ht="13" x14ac:dyDescent="0.25">
      <c r="A42" s="105">
        <v>4</v>
      </c>
      <c r="B42" s="128" t="s">
        <v>149</v>
      </c>
      <c r="C42" s="107"/>
      <c r="D42" s="107"/>
      <c r="E42" s="107"/>
      <c r="F42" s="107"/>
      <c r="G42" s="117">
        <f>SUM(G43:G44)</f>
        <v>2000000</v>
      </c>
      <c r="H42" s="154">
        <f t="shared" si="0"/>
        <v>3291.3358874099822</v>
      </c>
    </row>
    <row r="43" spans="1:14" s="113" customFormat="1" ht="26" x14ac:dyDescent="0.35">
      <c r="A43" s="129"/>
      <c r="B43" s="226" t="s">
        <v>146</v>
      </c>
      <c r="C43" s="228">
        <v>1</v>
      </c>
      <c r="D43" s="228">
        <v>2000000</v>
      </c>
      <c r="E43" s="230"/>
      <c r="F43" s="230"/>
      <c r="G43" s="228">
        <v>2000000</v>
      </c>
      <c r="H43" s="229">
        <f>G43/$H$4</f>
        <v>3291.3358874099822</v>
      </c>
    </row>
    <row r="44" spans="1:14" s="113" customFormat="1" ht="23.25" hidden="1" customHeight="1" x14ac:dyDescent="0.35">
      <c r="A44" s="129"/>
      <c r="B44" s="130" t="s">
        <v>70</v>
      </c>
      <c r="C44" s="140">
        <v>7</v>
      </c>
      <c r="D44" s="120">
        <v>15000000</v>
      </c>
      <c r="E44" s="121"/>
      <c r="F44" s="121"/>
      <c r="G44" s="120"/>
      <c r="H44" s="152">
        <f t="shared" si="0"/>
        <v>0</v>
      </c>
      <c r="I44" s="131"/>
    </row>
    <row r="45" spans="1:14" s="132" customFormat="1" ht="13" hidden="1" customHeight="1" x14ac:dyDescent="0.3">
      <c r="A45" s="105">
        <v>5</v>
      </c>
      <c r="B45" s="106" t="s">
        <v>68</v>
      </c>
      <c r="C45" s="107"/>
      <c r="D45" s="107"/>
      <c r="E45" s="107"/>
      <c r="F45" s="107"/>
      <c r="G45" s="117">
        <f>SUM(G46:G50)</f>
        <v>0</v>
      </c>
      <c r="H45" s="153">
        <f t="shared" si="0"/>
        <v>0</v>
      </c>
    </row>
    <row r="46" spans="1:14" s="113" customFormat="1" ht="13" hidden="1" customHeight="1" x14ac:dyDescent="0.35">
      <c r="A46" s="129"/>
      <c r="B46" s="133"/>
      <c r="C46" s="120"/>
      <c r="D46" s="120"/>
      <c r="E46" s="120"/>
      <c r="F46" s="120"/>
      <c r="G46" s="120"/>
      <c r="H46" s="152">
        <f t="shared" si="0"/>
        <v>0</v>
      </c>
    </row>
    <row r="47" spans="1:14" s="113" customFormat="1" ht="52" hidden="1" customHeight="1" x14ac:dyDescent="0.35">
      <c r="A47" s="129"/>
      <c r="B47" s="130" t="s">
        <v>103</v>
      </c>
      <c r="C47" s="134" t="s">
        <v>102</v>
      </c>
      <c r="D47" s="120">
        <v>250000</v>
      </c>
      <c r="E47" s="120" t="s">
        <v>13</v>
      </c>
      <c r="F47" s="120">
        <v>25</v>
      </c>
      <c r="G47" s="120"/>
      <c r="H47" s="152">
        <f t="shared" si="0"/>
        <v>0</v>
      </c>
    </row>
    <row r="48" spans="1:14" s="132" customFormat="1" ht="13" hidden="1" customHeight="1" x14ac:dyDescent="0.3">
      <c r="A48" s="129"/>
      <c r="B48" s="130" t="s">
        <v>104</v>
      </c>
      <c r="C48" s="120">
        <f>'[1]Budget 12000 HH'!D92</f>
        <v>150</v>
      </c>
      <c r="D48" s="120">
        <v>20000</v>
      </c>
      <c r="E48" s="120" t="s">
        <v>106</v>
      </c>
      <c r="F48" s="121"/>
      <c r="G48" s="120"/>
      <c r="H48" s="152">
        <f t="shared" si="0"/>
        <v>0</v>
      </c>
    </row>
    <row r="49" spans="1:10" s="132" customFormat="1" ht="13" hidden="1" customHeight="1" x14ac:dyDescent="0.3">
      <c r="A49" s="129"/>
      <c r="B49" s="130" t="s">
        <v>105</v>
      </c>
      <c r="C49" s="120">
        <v>250</v>
      </c>
      <c r="D49" s="120">
        <v>5000</v>
      </c>
      <c r="E49" s="120" t="s">
        <v>106</v>
      </c>
      <c r="F49" s="121"/>
      <c r="G49" s="120"/>
      <c r="H49" s="152">
        <f t="shared" si="0"/>
        <v>0</v>
      </c>
    </row>
    <row r="50" spans="1:10" s="103" customFormat="1" ht="13" hidden="1" customHeight="1" x14ac:dyDescent="0.25">
      <c r="A50" s="129"/>
      <c r="B50" s="130" t="s">
        <v>108</v>
      </c>
      <c r="C50" s="120">
        <v>40</v>
      </c>
      <c r="D50" s="120">
        <v>10000</v>
      </c>
      <c r="E50" s="120" t="s">
        <v>106</v>
      </c>
      <c r="F50" s="121"/>
      <c r="G50" s="120"/>
      <c r="H50" s="152">
        <f t="shared" si="0"/>
        <v>0</v>
      </c>
    </row>
    <row r="51" spans="1:10" s="103" customFormat="1" ht="13" hidden="1" customHeight="1" x14ac:dyDescent="0.25">
      <c r="A51" s="105">
        <v>6</v>
      </c>
      <c r="B51" s="106" t="s">
        <v>53</v>
      </c>
      <c r="C51" s="107"/>
      <c r="D51" s="108"/>
      <c r="E51" s="107"/>
      <c r="F51" s="107"/>
      <c r="G51" s="117">
        <f>SUM(G52:G55)</f>
        <v>0</v>
      </c>
      <c r="H51" s="151">
        <f t="shared" si="0"/>
        <v>0</v>
      </c>
    </row>
    <row r="52" spans="1:10" s="103" customFormat="1" ht="13" hidden="1" customHeight="1" x14ac:dyDescent="0.25">
      <c r="A52" s="129"/>
      <c r="B52" s="130" t="s">
        <v>14</v>
      </c>
      <c r="C52" s="120">
        <v>50</v>
      </c>
      <c r="D52" s="120">
        <v>6000</v>
      </c>
      <c r="E52" s="120" t="s">
        <v>13</v>
      </c>
      <c r="F52" s="120">
        <v>1</v>
      </c>
      <c r="G52" s="120"/>
      <c r="H52" s="152">
        <f t="shared" si="0"/>
        <v>0</v>
      </c>
    </row>
    <row r="53" spans="1:10" s="103" customFormat="1" ht="13" hidden="1" customHeight="1" x14ac:dyDescent="0.25">
      <c r="A53" s="129"/>
      <c r="B53" s="130" t="s">
        <v>112</v>
      </c>
      <c r="C53" s="120">
        <v>50</v>
      </c>
      <c r="D53" s="120">
        <v>17000</v>
      </c>
      <c r="E53" s="120" t="s">
        <v>13</v>
      </c>
      <c r="F53" s="120">
        <v>1</v>
      </c>
      <c r="G53" s="120"/>
      <c r="H53" s="152">
        <f t="shared" si="0"/>
        <v>0</v>
      </c>
    </row>
    <row r="54" spans="1:10" s="103" customFormat="1" ht="13" hidden="1" customHeight="1" x14ac:dyDescent="0.25">
      <c r="A54" s="129"/>
      <c r="B54" s="130" t="s">
        <v>55</v>
      </c>
      <c r="C54" s="120">
        <v>1</v>
      </c>
      <c r="D54" s="120">
        <v>350000</v>
      </c>
      <c r="E54" s="120" t="s">
        <v>13</v>
      </c>
      <c r="F54" s="120">
        <v>1</v>
      </c>
      <c r="G54" s="120"/>
      <c r="H54" s="152">
        <f t="shared" si="0"/>
        <v>0</v>
      </c>
    </row>
    <row r="55" spans="1:10" s="103" customFormat="1" ht="13" hidden="1" customHeight="1" x14ac:dyDescent="0.25">
      <c r="A55" s="129"/>
      <c r="B55" s="130" t="s">
        <v>56</v>
      </c>
      <c r="C55" s="120">
        <v>5</v>
      </c>
      <c r="D55" s="120">
        <v>20000</v>
      </c>
      <c r="E55" s="120" t="s">
        <v>13</v>
      </c>
      <c r="F55" s="120">
        <v>1</v>
      </c>
      <c r="G55" s="120"/>
      <c r="H55" s="152">
        <f t="shared" si="0"/>
        <v>0</v>
      </c>
    </row>
    <row r="56" spans="1:10" s="103" customFormat="1" ht="13" x14ac:dyDescent="0.25">
      <c r="A56" s="105" t="s">
        <v>59</v>
      </c>
      <c r="B56" s="106" t="s">
        <v>61</v>
      </c>
      <c r="C56" s="107"/>
      <c r="D56" s="108"/>
      <c r="E56" s="107"/>
      <c r="F56" s="107"/>
      <c r="G56" s="117">
        <f>G7+G17+G24+G42</f>
        <v>20198800</v>
      </c>
      <c r="H56" s="154">
        <f t="shared" si="0"/>
        <v>33240.517661308375</v>
      </c>
    </row>
    <row r="57" spans="1:10" s="103" customFormat="1" ht="13" x14ac:dyDescent="0.25">
      <c r="A57" s="105" t="s">
        <v>60</v>
      </c>
      <c r="B57" s="106" t="s">
        <v>132</v>
      </c>
      <c r="C57" s="107"/>
      <c r="D57" s="108"/>
      <c r="E57" s="107"/>
      <c r="F57" s="107"/>
      <c r="G57" s="117">
        <f>G56*0.05</f>
        <v>1009940</v>
      </c>
      <c r="H57" s="154">
        <f t="shared" si="0"/>
        <v>1662.0258830654188</v>
      </c>
      <c r="J57" s="143"/>
    </row>
    <row r="58" spans="1:10" s="132" customFormat="1" ht="13" x14ac:dyDescent="0.3">
      <c r="A58" s="135"/>
      <c r="B58" s="136" t="s">
        <v>62</v>
      </c>
      <c r="C58" s="137"/>
      <c r="D58" s="138"/>
      <c r="E58" s="137"/>
      <c r="F58" s="137"/>
      <c r="G58" s="139">
        <f>G56+G57</f>
        <v>21208740</v>
      </c>
      <c r="H58" s="154">
        <f>H56+H57</f>
        <v>34902.543544373795</v>
      </c>
    </row>
    <row r="59" spans="1:10" x14ac:dyDescent="0.35">
      <c r="A59" s="90"/>
      <c r="B59" s="91"/>
      <c r="C59" s="92"/>
      <c r="D59" s="92"/>
      <c r="E59" s="92"/>
      <c r="F59" s="92"/>
      <c r="G59" s="92"/>
      <c r="H59" s="92"/>
    </row>
    <row r="60" spans="1:10" x14ac:dyDescent="0.35">
      <c r="A60" s="93"/>
      <c r="B60" s="94"/>
      <c r="C60" s="95"/>
      <c r="D60" s="95"/>
      <c r="E60" s="95"/>
      <c r="F60" s="95"/>
      <c r="G60" s="95"/>
      <c r="H60" s="95"/>
    </row>
    <row r="61" spans="1:10" ht="48.75" customHeight="1" x14ac:dyDescent="0.35">
      <c r="A61" s="191" t="s">
        <v>140</v>
      </c>
      <c r="B61" s="192"/>
      <c r="C61" s="195" t="s">
        <v>141</v>
      </c>
      <c r="D61" s="195"/>
      <c r="E61" s="195"/>
      <c r="F61" s="196" t="s">
        <v>142</v>
      </c>
      <c r="G61" s="192"/>
      <c r="H61" s="192"/>
    </row>
    <row r="62" spans="1:10" ht="33.65" customHeight="1" x14ac:dyDescent="0.35">
      <c r="A62" s="193"/>
      <c r="B62" s="194"/>
      <c r="C62" s="195"/>
      <c r="D62" s="195"/>
      <c r="E62" s="195"/>
      <c r="F62" s="197"/>
      <c r="G62" s="194"/>
      <c r="H62" s="194"/>
    </row>
    <row r="63" spans="1:10" x14ac:dyDescent="0.35">
      <c r="A63" s="97"/>
      <c r="B63" s="98"/>
      <c r="C63" s="99"/>
      <c r="D63" s="99"/>
      <c r="E63" s="99"/>
      <c r="F63" s="99"/>
      <c r="G63" s="99"/>
      <c r="H63" s="99"/>
    </row>
    <row r="64" spans="1:10" ht="54" customHeight="1" x14ac:dyDescent="0.35">
      <c r="A64" s="181" t="s">
        <v>143</v>
      </c>
      <c r="B64" s="182"/>
      <c r="C64" s="183"/>
      <c r="D64" s="96"/>
      <c r="E64" s="96"/>
      <c r="F64" s="187" t="s">
        <v>144</v>
      </c>
      <c r="G64" s="182"/>
      <c r="H64" s="182"/>
    </row>
    <row r="65" spans="1:8" ht="36" customHeight="1" thickBot="1" x14ac:dyDescent="0.4">
      <c r="A65" s="184"/>
      <c r="B65" s="185"/>
      <c r="C65" s="186"/>
      <c r="D65" s="100"/>
      <c r="E65" s="101"/>
      <c r="F65" s="188"/>
      <c r="G65" s="185"/>
      <c r="H65" s="185"/>
    </row>
    <row r="66" spans="1:8" ht="15" thickTop="1" x14ac:dyDescent="0.35">
      <c r="A66" s="4"/>
      <c r="B66" s="85"/>
      <c r="E66" s="86"/>
      <c r="F66" s="86"/>
      <c r="G66" s="86"/>
      <c r="H66" s="86"/>
    </row>
    <row r="67" spans="1:8" x14ac:dyDescent="0.35">
      <c r="A67" s="4"/>
      <c r="B67" s="85"/>
      <c r="E67" s="86"/>
      <c r="F67" s="86"/>
      <c r="G67" s="86"/>
      <c r="H67" s="86"/>
    </row>
    <row r="68" spans="1:8" x14ac:dyDescent="0.35">
      <c r="A68" s="4"/>
      <c r="B68" s="85"/>
      <c r="E68" s="86"/>
      <c r="F68" s="86"/>
      <c r="G68" s="86"/>
      <c r="H68" s="86"/>
    </row>
    <row r="69" spans="1:8" ht="15.65" customHeight="1" x14ac:dyDescent="0.35">
      <c r="A69" s="4"/>
      <c r="B69" s="85"/>
      <c r="C69" s="86"/>
      <c r="D69" s="86"/>
      <c r="E69" s="86"/>
      <c r="F69" s="86"/>
      <c r="G69" s="86"/>
      <c r="H69" s="86"/>
    </row>
    <row r="76" spans="1:8" s="1" customFormat="1" x14ac:dyDescent="0.35">
      <c r="A76" s="47"/>
      <c r="B76" s="87"/>
      <c r="C76" s="88"/>
      <c r="D76" s="88"/>
      <c r="E76" s="88"/>
      <c r="F76" s="88"/>
      <c r="G76" s="88"/>
      <c r="H76" s="88"/>
    </row>
  </sheetData>
  <mergeCells count="17">
    <mergeCell ref="A64:C65"/>
    <mergeCell ref="F64:H65"/>
    <mergeCell ref="J28:N28"/>
    <mergeCell ref="J35:N35"/>
    <mergeCell ref="J37:N37"/>
    <mergeCell ref="A61:B62"/>
    <mergeCell ref="C61:E62"/>
    <mergeCell ref="F61:H62"/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0FED-D8D5-4F23-851D-FDEAA91A732E}">
  <dimension ref="A1:L60"/>
  <sheetViews>
    <sheetView view="pageBreakPreview" topLeftCell="A7" zoomScale="96" zoomScaleNormal="128" zoomScaleSheetLayoutView="96" workbookViewId="0">
      <selection activeCell="C40" sqref="C40"/>
    </sheetView>
  </sheetViews>
  <sheetFormatPr defaultColWidth="9.1796875" defaultRowHeight="14.5" x14ac:dyDescent="0.35"/>
  <cols>
    <col min="1" max="1" width="3.81640625" customWidth="1"/>
    <col min="2" max="2" width="49.453125" style="84" customWidth="1"/>
    <col min="3" max="3" width="12.54296875" style="72" customWidth="1"/>
    <col min="4" max="4" width="13.90625" style="72" customWidth="1"/>
    <col min="5" max="5" width="8.453125" style="72" customWidth="1"/>
    <col min="6" max="6" width="10.08984375" style="72" customWidth="1"/>
    <col min="7" max="8" width="21.90625" style="72" customWidth="1"/>
    <col min="9" max="251" width="11.453125" customWidth="1"/>
    <col min="252" max="252" width="3.81640625" customWidth="1"/>
    <col min="253" max="253" width="37.81640625" customWidth="1"/>
    <col min="254" max="254" width="8.81640625" customWidth="1"/>
    <col min="255" max="255" width="12.54296875" customWidth="1"/>
    <col min="256" max="257" width="8.453125" customWidth="1"/>
    <col min="258" max="258" width="12.81640625" bestFit="1" customWidth="1"/>
    <col min="259" max="259" width="11.453125" customWidth="1"/>
    <col min="260" max="261" width="9.1796875" customWidth="1"/>
    <col min="262" max="262" width="20.81640625" customWidth="1"/>
    <col min="263" max="263" width="11.81640625" customWidth="1"/>
    <col min="264" max="507" width="11.453125" customWidth="1"/>
    <col min="508" max="508" width="3.81640625" customWidth="1"/>
    <col min="509" max="509" width="37.81640625" customWidth="1"/>
    <col min="510" max="510" width="8.81640625" customWidth="1"/>
    <col min="511" max="511" width="12.54296875" customWidth="1"/>
    <col min="512" max="513" width="8.453125" customWidth="1"/>
    <col min="514" max="514" width="12.81640625" bestFit="1" customWidth="1"/>
    <col min="515" max="515" width="11.453125" customWidth="1"/>
    <col min="516" max="517" width="9.1796875" customWidth="1"/>
    <col min="518" max="518" width="20.81640625" customWidth="1"/>
    <col min="519" max="519" width="11.81640625" customWidth="1"/>
    <col min="520" max="763" width="11.453125" customWidth="1"/>
    <col min="764" max="764" width="3.81640625" customWidth="1"/>
    <col min="765" max="765" width="37.81640625" customWidth="1"/>
    <col min="766" max="766" width="8.81640625" customWidth="1"/>
    <col min="767" max="767" width="12.54296875" customWidth="1"/>
    <col min="768" max="769" width="8.453125" customWidth="1"/>
    <col min="770" max="770" width="12.81640625" bestFit="1" customWidth="1"/>
    <col min="771" max="771" width="11.453125" customWidth="1"/>
    <col min="772" max="773" width="9.1796875" customWidth="1"/>
    <col min="774" max="774" width="20.81640625" customWidth="1"/>
    <col min="775" max="775" width="11.81640625" customWidth="1"/>
    <col min="776" max="1019" width="11.453125" customWidth="1"/>
    <col min="1020" max="1020" width="3.81640625" customWidth="1"/>
    <col min="1021" max="1021" width="37.81640625" customWidth="1"/>
    <col min="1022" max="1022" width="8.81640625" customWidth="1"/>
    <col min="1023" max="1023" width="12.54296875" customWidth="1"/>
    <col min="1024" max="1025" width="8.453125" customWidth="1"/>
    <col min="1026" max="1026" width="12.81640625" bestFit="1" customWidth="1"/>
    <col min="1027" max="1027" width="11.453125" customWidth="1"/>
    <col min="1028" max="1029" width="9.1796875" customWidth="1"/>
    <col min="1030" max="1030" width="20.81640625" customWidth="1"/>
    <col min="1031" max="1031" width="11.81640625" customWidth="1"/>
    <col min="1032" max="1275" width="11.453125" customWidth="1"/>
    <col min="1276" max="1276" width="3.81640625" customWidth="1"/>
    <col min="1277" max="1277" width="37.81640625" customWidth="1"/>
    <col min="1278" max="1278" width="8.81640625" customWidth="1"/>
    <col min="1279" max="1279" width="12.54296875" customWidth="1"/>
    <col min="1280" max="1281" width="8.453125" customWidth="1"/>
    <col min="1282" max="1282" width="12.81640625" bestFit="1" customWidth="1"/>
    <col min="1283" max="1283" width="11.453125" customWidth="1"/>
    <col min="1284" max="1285" width="9.1796875" customWidth="1"/>
    <col min="1286" max="1286" width="20.81640625" customWidth="1"/>
    <col min="1287" max="1287" width="11.81640625" customWidth="1"/>
    <col min="1288" max="1531" width="11.453125" customWidth="1"/>
    <col min="1532" max="1532" width="3.81640625" customWidth="1"/>
    <col min="1533" max="1533" width="37.81640625" customWidth="1"/>
    <col min="1534" max="1534" width="8.81640625" customWidth="1"/>
    <col min="1535" max="1535" width="12.54296875" customWidth="1"/>
    <col min="1536" max="1537" width="8.453125" customWidth="1"/>
    <col min="1538" max="1538" width="12.81640625" bestFit="1" customWidth="1"/>
    <col min="1539" max="1539" width="11.453125" customWidth="1"/>
    <col min="1540" max="1541" width="9.1796875" customWidth="1"/>
    <col min="1542" max="1542" width="20.81640625" customWidth="1"/>
    <col min="1543" max="1543" width="11.81640625" customWidth="1"/>
    <col min="1544" max="1787" width="11.453125" customWidth="1"/>
    <col min="1788" max="1788" width="3.81640625" customWidth="1"/>
    <col min="1789" max="1789" width="37.81640625" customWidth="1"/>
    <col min="1790" max="1790" width="8.81640625" customWidth="1"/>
    <col min="1791" max="1791" width="12.54296875" customWidth="1"/>
    <col min="1792" max="1793" width="8.453125" customWidth="1"/>
    <col min="1794" max="1794" width="12.81640625" bestFit="1" customWidth="1"/>
    <col min="1795" max="1795" width="11.453125" customWidth="1"/>
    <col min="1796" max="1797" width="9.1796875" customWidth="1"/>
    <col min="1798" max="1798" width="20.81640625" customWidth="1"/>
    <col min="1799" max="1799" width="11.81640625" customWidth="1"/>
    <col min="1800" max="2043" width="11.453125" customWidth="1"/>
    <col min="2044" max="2044" width="3.81640625" customWidth="1"/>
    <col min="2045" max="2045" width="37.81640625" customWidth="1"/>
    <col min="2046" max="2046" width="8.81640625" customWidth="1"/>
    <col min="2047" max="2047" width="12.54296875" customWidth="1"/>
    <col min="2048" max="2049" width="8.453125" customWidth="1"/>
    <col min="2050" max="2050" width="12.81640625" bestFit="1" customWidth="1"/>
    <col min="2051" max="2051" width="11.453125" customWidth="1"/>
    <col min="2052" max="2053" width="9.1796875" customWidth="1"/>
    <col min="2054" max="2054" width="20.81640625" customWidth="1"/>
    <col min="2055" max="2055" width="11.81640625" customWidth="1"/>
    <col min="2056" max="2299" width="11.453125" customWidth="1"/>
    <col min="2300" max="2300" width="3.81640625" customWidth="1"/>
    <col min="2301" max="2301" width="37.81640625" customWidth="1"/>
    <col min="2302" max="2302" width="8.81640625" customWidth="1"/>
    <col min="2303" max="2303" width="12.54296875" customWidth="1"/>
    <col min="2304" max="2305" width="8.453125" customWidth="1"/>
    <col min="2306" max="2306" width="12.81640625" bestFit="1" customWidth="1"/>
    <col min="2307" max="2307" width="11.453125" customWidth="1"/>
    <col min="2308" max="2309" width="9.1796875" customWidth="1"/>
    <col min="2310" max="2310" width="20.81640625" customWidth="1"/>
    <col min="2311" max="2311" width="11.81640625" customWidth="1"/>
    <col min="2312" max="2555" width="11.453125" customWidth="1"/>
    <col min="2556" max="2556" width="3.81640625" customWidth="1"/>
    <col min="2557" max="2557" width="37.81640625" customWidth="1"/>
    <col min="2558" max="2558" width="8.81640625" customWidth="1"/>
    <col min="2559" max="2559" width="12.54296875" customWidth="1"/>
    <col min="2560" max="2561" width="8.453125" customWidth="1"/>
    <col min="2562" max="2562" width="12.81640625" bestFit="1" customWidth="1"/>
    <col min="2563" max="2563" width="11.453125" customWidth="1"/>
    <col min="2564" max="2565" width="9.1796875" customWidth="1"/>
    <col min="2566" max="2566" width="20.81640625" customWidth="1"/>
    <col min="2567" max="2567" width="11.81640625" customWidth="1"/>
    <col min="2568" max="2811" width="11.453125" customWidth="1"/>
    <col min="2812" max="2812" width="3.81640625" customWidth="1"/>
    <col min="2813" max="2813" width="37.81640625" customWidth="1"/>
    <col min="2814" max="2814" width="8.81640625" customWidth="1"/>
    <col min="2815" max="2815" width="12.54296875" customWidth="1"/>
    <col min="2816" max="2817" width="8.453125" customWidth="1"/>
    <col min="2818" max="2818" width="12.81640625" bestFit="1" customWidth="1"/>
    <col min="2819" max="2819" width="11.453125" customWidth="1"/>
    <col min="2820" max="2821" width="9.1796875" customWidth="1"/>
    <col min="2822" max="2822" width="20.81640625" customWidth="1"/>
    <col min="2823" max="2823" width="11.81640625" customWidth="1"/>
    <col min="2824" max="3067" width="11.453125" customWidth="1"/>
    <col min="3068" max="3068" width="3.81640625" customWidth="1"/>
    <col min="3069" max="3069" width="37.81640625" customWidth="1"/>
    <col min="3070" max="3070" width="8.81640625" customWidth="1"/>
    <col min="3071" max="3071" width="12.54296875" customWidth="1"/>
    <col min="3072" max="3073" width="8.453125" customWidth="1"/>
    <col min="3074" max="3074" width="12.81640625" bestFit="1" customWidth="1"/>
    <col min="3075" max="3075" width="11.453125" customWidth="1"/>
    <col min="3076" max="3077" width="9.1796875" customWidth="1"/>
    <col min="3078" max="3078" width="20.81640625" customWidth="1"/>
    <col min="3079" max="3079" width="11.81640625" customWidth="1"/>
    <col min="3080" max="3323" width="11.453125" customWidth="1"/>
    <col min="3324" max="3324" width="3.81640625" customWidth="1"/>
    <col min="3325" max="3325" width="37.81640625" customWidth="1"/>
    <col min="3326" max="3326" width="8.81640625" customWidth="1"/>
    <col min="3327" max="3327" width="12.54296875" customWidth="1"/>
    <col min="3328" max="3329" width="8.453125" customWidth="1"/>
    <col min="3330" max="3330" width="12.81640625" bestFit="1" customWidth="1"/>
    <col min="3331" max="3331" width="11.453125" customWidth="1"/>
    <col min="3332" max="3333" width="9.1796875" customWidth="1"/>
    <col min="3334" max="3334" width="20.81640625" customWidth="1"/>
    <col min="3335" max="3335" width="11.81640625" customWidth="1"/>
    <col min="3336" max="3579" width="11.453125" customWidth="1"/>
    <col min="3580" max="3580" width="3.81640625" customWidth="1"/>
    <col min="3581" max="3581" width="37.81640625" customWidth="1"/>
    <col min="3582" max="3582" width="8.81640625" customWidth="1"/>
    <col min="3583" max="3583" width="12.54296875" customWidth="1"/>
    <col min="3584" max="3585" width="8.453125" customWidth="1"/>
    <col min="3586" max="3586" width="12.81640625" bestFit="1" customWidth="1"/>
    <col min="3587" max="3587" width="11.453125" customWidth="1"/>
    <col min="3588" max="3589" width="9.1796875" customWidth="1"/>
    <col min="3590" max="3590" width="20.81640625" customWidth="1"/>
    <col min="3591" max="3591" width="11.81640625" customWidth="1"/>
    <col min="3592" max="3835" width="11.453125" customWidth="1"/>
    <col min="3836" max="3836" width="3.81640625" customWidth="1"/>
    <col min="3837" max="3837" width="37.81640625" customWidth="1"/>
    <col min="3838" max="3838" width="8.81640625" customWidth="1"/>
    <col min="3839" max="3839" width="12.54296875" customWidth="1"/>
    <col min="3840" max="3841" width="8.453125" customWidth="1"/>
    <col min="3842" max="3842" width="12.81640625" bestFit="1" customWidth="1"/>
    <col min="3843" max="3843" width="11.453125" customWidth="1"/>
    <col min="3844" max="3845" width="9.1796875" customWidth="1"/>
    <col min="3846" max="3846" width="20.81640625" customWidth="1"/>
    <col min="3847" max="3847" width="11.81640625" customWidth="1"/>
    <col min="3848" max="4091" width="11.453125" customWidth="1"/>
    <col min="4092" max="4092" width="3.81640625" customWidth="1"/>
    <col min="4093" max="4093" width="37.81640625" customWidth="1"/>
    <col min="4094" max="4094" width="8.81640625" customWidth="1"/>
    <col min="4095" max="4095" width="12.54296875" customWidth="1"/>
    <col min="4096" max="4097" width="8.453125" customWidth="1"/>
    <col min="4098" max="4098" width="12.81640625" bestFit="1" customWidth="1"/>
    <col min="4099" max="4099" width="11.453125" customWidth="1"/>
    <col min="4100" max="4101" width="9.1796875" customWidth="1"/>
    <col min="4102" max="4102" width="20.81640625" customWidth="1"/>
    <col min="4103" max="4103" width="11.81640625" customWidth="1"/>
    <col min="4104" max="4347" width="11.453125" customWidth="1"/>
    <col min="4348" max="4348" width="3.81640625" customWidth="1"/>
    <col min="4349" max="4349" width="37.81640625" customWidth="1"/>
    <col min="4350" max="4350" width="8.81640625" customWidth="1"/>
    <col min="4351" max="4351" width="12.54296875" customWidth="1"/>
    <col min="4352" max="4353" width="8.453125" customWidth="1"/>
    <col min="4354" max="4354" width="12.81640625" bestFit="1" customWidth="1"/>
    <col min="4355" max="4355" width="11.453125" customWidth="1"/>
    <col min="4356" max="4357" width="9.1796875" customWidth="1"/>
    <col min="4358" max="4358" width="20.81640625" customWidth="1"/>
    <col min="4359" max="4359" width="11.81640625" customWidth="1"/>
    <col min="4360" max="4603" width="11.453125" customWidth="1"/>
    <col min="4604" max="4604" width="3.81640625" customWidth="1"/>
    <col min="4605" max="4605" width="37.81640625" customWidth="1"/>
    <col min="4606" max="4606" width="8.81640625" customWidth="1"/>
    <col min="4607" max="4607" width="12.54296875" customWidth="1"/>
    <col min="4608" max="4609" width="8.453125" customWidth="1"/>
    <col min="4610" max="4610" width="12.81640625" bestFit="1" customWidth="1"/>
    <col min="4611" max="4611" width="11.453125" customWidth="1"/>
    <col min="4612" max="4613" width="9.1796875" customWidth="1"/>
    <col min="4614" max="4614" width="20.81640625" customWidth="1"/>
    <col min="4615" max="4615" width="11.81640625" customWidth="1"/>
    <col min="4616" max="4859" width="11.453125" customWidth="1"/>
    <col min="4860" max="4860" width="3.81640625" customWidth="1"/>
    <col min="4861" max="4861" width="37.81640625" customWidth="1"/>
    <col min="4862" max="4862" width="8.81640625" customWidth="1"/>
    <col min="4863" max="4863" width="12.54296875" customWidth="1"/>
    <col min="4864" max="4865" width="8.453125" customWidth="1"/>
    <col min="4866" max="4866" width="12.81640625" bestFit="1" customWidth="1"/>
    <col min="4867" max="4867" width="11.453125" customWidth="1"/>
    <col min="4868" max="4869" width="9.1796875" customWidth="1"/>
    <col min="4870" max="4870" width="20.81640625" customWidth="1"/>
    <col min="4871" max="4871" width="11.81640625" customWidth="1"/>
    <col min="4872" max="5115" width="11.453125" customWidth="1"/>
    <col min="5116" max="5116" width="3.81640625" customWidth="1"/>
    <col min="5117" max="5117" width="37.81640625" customWidth="1"/>
    <col min="5118" max="5118" width="8.81640625" customWidth="1"/>
    <col min="5119" max="5119" width="12.54296875" customWidth="1"/>
    <col min="5120" max="5121" width="8.453125" customWidth="1"/>
    <col min="5122" max="5122" width="12.81640625" bestFit="1" customWidth="1"/>
    <col min="5123" max="5123" width="11.453125" customWidth="1"/>
    <col min="5124" max="5125" width="9.1796875" customWidth="1"/>
    <col min="5126" max="5126" width="20.81640625" customWidth="1"/>
    <col min="5127" max="5127" width="11.81640625" customWidth="1"/>
    <col min="5128" max="5371" width="11.453125" customWidth="1"/>
    <col min="5372" max="5372" width="3.81640625" customWidth="1"/>
    <col min="5373" max="5373" width="37.81640625" customWidth="1"/>
    <col min="5374" max="5374" width="8.81640625" customWidth="1"/>
    <col min="5375" max="5375" width="12.54296875" customWidth="1"/>
    <col min="5376" max="5377" width="8.453125" customWidth="1"/>
    <col min="5378" max="5378" width="12.81640625" bestFit="1" customWidth="1"/>
    <col min="5379" max="5379" width="11.453125" customWidth="1"/>
    <col min="5380" max="5381" width="9.1796875" customWidth="1"/>
    <col min="5382" max="5382" width="20.81640625" customWidth="1"/>
    <col min="5383" max="5383" width="11.81640625" customWidth="1"/>
    <col min="5384" max="5627" width="11.453125" customWidth="1"/>
    <col min="5628" max="5628" width="3.81640625" customWidth="1"/>
    <col min="5629" max="5629" width="37.81640625" customWidth="1"/>
    <col min="5630" max="5630" width="8.81640625" customWidth="1"/>
    <col min="5631" max="5631" width="12.54296875" customWidth="1"/>
    <col min="5632" max="5633" width="8.453125" customWidth="1"/>
    <col min="5634" max="5634" width="12.81640625" bestFit="1" customWidth="1"/>
    <col min="5635" max="5635" width="11.453125" customWidth="1"/>
    <col min="5636" max="5637" width="9.1796875" customWidth="1"/>
    <col min="5638" max="5638" width="20.81640625" customWidth="1"/>
    <col min="5639" max="5639" width="11.81640625" customWidth="1"/>
    <col min="5640" max="5883" width="11.453125" customWidth="1"/>
    <col min="5884" max="5884" width="3.81640625" customWidth="1"/>
    <col min="5885" max="5885" width="37.81640625" customWidth="1"/>
    <col min="5886" max="5886" width="8.81640625" customWidth="1"/>
    <col min="5887" max="5887" width="12.54296875" customWidth="1"/>
    <col min="5888" max="5889" width="8.453125" customWidth="1"/>
    <col min="5890" max="5890" width="12.81640625" bestFit="1" customWidth="1"/>
    <col min="5891" max="5891" width="11.453125" customWidth="1"/>
    <col min="5892" max="5893" width="9.1796875" customWidth="1"/>
    <col min="5894" max="5894" width="20.81640625" customWidth="1"/>
    <col min="5895" max="5895" width="11.81640625" customWidth="1"/>
    <col min="5896" max="6139" width="11.453125" customWidth="1"/>
    <col min="6140" max="6140" width="3.81640625" customWidth="1"/>
    <col min="6141" max="6141" width="37.81640625" customWidth="1"/>
    <col min="6142" max="6142" width="8.81640625" customWidth="1"/>
    <col min="6143" max="6143" width="12.54296875" customWidth="1"/>
    <col min="6144" max="6145" width="8.453125" customWidth="1"/>
    <col min="6146" max="6146" width="12.81640625" bestFit="1" customWidth="1"/>
    <col min="6147" max="6147" width="11.453125" customWidth="1"/>
    <col min="6148" max="6149" width="9.1796875" customWidth="1"/>
    <col min="6150" max="6150" width="20.81640625" customWidth="1"/>
    <col min="6151" max="6151" width="11.81640625" customWidth="1"/>
    <col min="6152" max="6395" width="11.453125" customWidth="1"/>
    <col min="6396" max="6396" width="3.81640625" customWidth="1"/>
    <col min="6397" max="6397" width="37.81640625" customWidth="1"/>
    <col min="6398" max="6398" width="8.81640625" customWidth="1"/>
    <col min="6399" max="6399" width="12.54296875" customWidth="1"/>
    <col min="6400" max="6401" width="8.453125" customWidth="1"/>
    <col min="6402" max="6402" width="12.81640625" bestFit="1" customWidth="1"/>
    <col min="6403" max="6403" width="11.453125" customWidth="1"/>
    <col min="6404" max="6405" width="9.1796875" customWidth="1"/>
    <col min="6406" max="6406" width="20.81640625" customWidth="1"/>
    <col min="6407" max="6407" width="11.81640625" customWidth="1"/>
    <col min="6408" max="6651" width="11.453125" customWidth="1"/>
    <col min="6652" max="6652" width="3.81640625" customWidth="1"/>
    <col min="6653" max="6653" width="37.81640625" customWidth="1"/>
    <col min="6654" max="6654" width="8.81640625" customWidth="1"/>
    <col min="6655" max="6655" width="12.54296875" customWidth="1"/>
    <col min="6656" max="6657" width="8.453125" customWidth="1"/>
    <col min="6658" max="6658" width="12.81640625" bestFit="1" customWidth="1"/>
    <col min="6659" max="6659" width="11.453125" customWidth="1"/>
    <col min="6660" max="6661" width="9.1796875" customWidth="1"/>
    <col min="6662" max="6662" width="20.81640625" customWidth="1"/>
    <col min="6663" max="6663" width="11.81640625" customWidth="1"/>
    <col min="6664" max="6907" width="11.453125" customWidth="1"/>
    <col min="6908" max="6908" width="3.81640625" customWidth="1"/>
    <col min="6909" max="6909" width="37.81640625" customWidth="1"/>
    <col min="6910" max="6910" width="8.81640625" customWidth="1"/>
    <col min="6911" max="6911" width="12.54296875" customWidth="1"/>
    <col min="6912" max="6913" width="8.453125" customWidth="1"/>
    <col min="6914" max="6914" width="12.81640625" bestFit="1" customWidth="1"/>
    <col min="6915" max="6915" width="11.453125" customWidth="1"/>
    <col min="6916" max="6917" width="9.1796875" customWidth="1"/>
    <col min="6918" max="6918" width="20.81640625" customWidth="1"/>
    <col min="6919" max="6919" width="11.81640625" customWidth="1"/>
    <col min="6920" max="7163" width="11.453125" customWidth="1"/>
    <col min="7164" max="7164" width="3.81640625" customWidth="1"/>
    <col min="7165" max="7165" width="37.81640625" customWidth="1"/>
    <col min="7166" max="7166" width="8.81640625" customWidth="1"/>
    <col min="7167" max="7167" width="12.54296875" customWidth="1"/>
    <col min="7168" max="7169" width="8.453125" customWidth="1"/>
    <col min="7170" max="7170" width="12.81640625" bestFit="1" customWidth="1"/>
    <col min="7171" max="7171" width="11.453125" customWidth="1"/>
    <col min="7172" max="7173" width="9.1796875" customWidth="1"/>
    <col min="7174" max="7174" width="20.81640625" customWidth="1"/>
    <col min="7175" max="7175" width="11.81640625" customWidth="1"/>
    <col min="7176" max="7419" width="11.453125" customWidth="1"/>
    <col min="7420" max="7420" width="3.81640625" customWidth="1"/>
    <col min="7421" max="7421" width="37.81640625" customWidth="1"/>
    <col min="7422" max="7422" width="8.81640625" customWidth="1"/>
    <col min="7423" max="7423" width="12.54296875" customWidth="1"/>
    <col min="7424" max="7425" width="8.453125" customWidth="1"/>
    <col min="7426" max="7426" width="12.81640625" bestFit="1" customWidth="1"/>
    <col min="7427" max="7427" width="11.453125" customWidth="1"/>
    <col min="7428" max="7429" width="9.1796875" customWidth="1"/>
    <col min="7430" max="7430" width="20.81640625" customWidth="1"/>
    <col min="7431" max="7431" width="11.81640625" customWidth="1"/>
    <col min="7432" max="7675" width="11.453125" customWidth="1"/>
    <col min="7676" max="7676" width="3.81640625" customWidth="1"/>
    <col min="7677" max="7677" width="37.81640625" customWidth="1"/>
    <col min="7678" max="7678" width="8.81640625" customWidth="1"/>
    <col min="7679" max="7679" width="12.54296875" customWidth="1"/>
    <col min="7680" max="7681" width="8.453125" customWidth="1"/>
    <col min="7682" max="7682" width="12.81640625" bestFit="1" customWidth="1"/>
    <col min="7683" max="7683" width="11.453125" customWidth="1"/>
    <col min="7684" max="7685" width="9.1796875" customWidth="1"/>
    <col min="7686" max="7686" width="20.81640625" customWidth="1"/>
    <col min="7687" max="7687" width="11.81640625" customWidth="1"/>
    <col min="7688" max="7931" width="11.453125" customWidth="1"/>
    <col min="7932" max="7932" width="3.81640625" customWidth="1"/>
    <col min="7933" max="7933" width="37.81640625" customWidth="1"/>
    <col min="7934" max="7934" width="8.81640625" customWidth="1"/>
    <col min="7935" max="7935" width="12.54296875" customWidth="1"/>
    <col min="7936" max="7937" width="8.453125" customWidth="1"/>
    <col min="7938" max="7938" width="12.81640625" bestFit="1" customWidth="1"/>
    <col min="7939" max="7939" width="11.453125" customWidth="1"/>
    <col min="7940" max="7941" width="9.1796875" customWidth="1"/>
    <col min="7942" max="7942" width="20.81640625" customWidth="1"/>
    <col min="7943" max="7943" width="11.81640625" customWidth="1"/>
    <col min="7944" max="8187" width="11.453125" customWidth="1"/>
    <col min="8188" max="8188" width="3.81640625" customWidth="1"/>
    <col min="8189" max="8189" width="37.81640625" customWidth="1"/>
    <col min="8190" max="8190" width="8.81640625" customWidth="1"/>
    <col min="8191" max="8191" width="12.54296875" customWidth="1"/>
    <col min="8192" max="8193" width="8.453125" customWidth="1"/>
    <col min="8194" max="8194" width="12.81640625" bestFit="1" customWidth="1"/>
    <col min="8195" max="8195" width="11.453125" customWidth="1"/>
    <col min="8196" max="8197" width="9.1796875" customWidth="1"/>
    <col min="8198" max="8198" width="20.81640625" customWidth="1"/>
    <col min="8199" max="8199" width="11.81640625" customWidth="1"/>
    <col min="8200" max="8443" width="11.453125" customWidth="1"/>
    <col min="8444" max="8444" width="3.81640625" customWidth="1"/>
    <col min="8445" max="8445" width="37.81640625" customWidth="1"/>
    <col min="8446" max="8446" width="8.81640625" customWidth="1"/>
    <col min="8447" max="8447" width="12.54296875" customWidth="1"/>
    <col min="8448" max="8449" width="8.453125" customWidth="1"/>
    <col min="8450" max="8450" width="12.81640625" bestFit="1" customWidth="1"/>
    <col min="8451" max="8451" width="11.453125" customWidth="1"/>
    <col min="8452" max="8453" width="9.1796875" customWidth="1"/>
    <col min="8454" max="8454" width="20.81640625" customWidth="1"/>
    <col min="8455" max="8455" width="11.81640625" customWidth="1"/>
    <col min="8456" max="8699" width="11.453125" customWidth="1"/>
    <col min="8700" max="8700" width="3.81640625" customWidth="1"/>
    <col min="8701" max="8701" width="37.81640625" customWidth="1"/>
    <col min="8702" max="8702" width="8.81640625" customWidth="1"/>
    <col min="8703" max="8703" width="12.54296875" customWidth="1"/>
    <col min="8704" max="8705" width="8.453125" customWidth="1"/>
    <col min="8706" max="8706" width="12.81640625" bestFit="1" customWidth="1"/>
    <col min="8707" max="8707" width="11.453125" customWidth="1"/>
    <col min="8708" max="8709" width="9.1796875" customWidth="1"/>
    <col min="8710" max="8710" width="20.81640625" customWidth="1"/>
    <col min="8711" max="8711" width="11.81640625" customWidth="1"/>
    <col min="8712" max="8955" width="11.453125" customWidth="1"/>
    <col min="8956" max="8956" width="3.81640625" customWidth="1"/>
    <col min="8957" max="8957" width="37.81640625" customWidth="1"/>
    <col min="8958" max="8958" width="8.81640625" customWidth="1"/>
    <col min="8959" max="8959" width="12.54296875" customWidth="1"/>
    <col min="8960" max="8961" width="8.453125" customWidth="1"/>
    <col min="8962" max="8962" width="12.81640625" bestFit="1" customWidth="1"/>
    <col min="8963" max="8963" width="11.453125" customWidth="1"/>
    <col min="8964" max="8965" width="9.1796875" customWidth="1"/>
    <col min="8966" max="8966" width="20.81640625" customWidth="1"/>
    <col min="8967" max="8967" width="11.81640625" customWidth="1"/>
    <col min="8968" max="9211" width="11.453125" customWidth="1"/>
    <col min="9212" max="9212" width="3.81640625" customWidth="1"/>
    <col min="9213" max="9213" width="37.81640625" customWidth="1"/>
    <col min="9214" max="9214" width="8.81640625" customWidth="1"/>
    <col min="9215" max="9215" width="12.54296875" customWidth="1"/>
    <col min="9216" max="9217" width="8.453125" customWidth="1"/>
    <col min="9218" max="9218" width="12.81640625" bestFit="1" customWidth="1"/>
    <col min="9219" max="9219" width="11.453125" customWidth="1"/>
    <col min="9220" max="9221" width="9.1796875" customWidth="1"/>
    <col min="9222" max="9222" width="20.81640625" customWidth="1"/>
    <col min="9223" max="9223" width="11.81640625" customWidth="1"/>
    <col min="9224" max="9467" width="11.453125" customWidth="1"/>
    <col min="9468" max="9468" width="3.81640625" customWidth="1"/>
    <col min="9469" max="9469" width="37.81640625" customWidth="1"/>
    <col min="9470" max="9470" width="8.81640625" customWidth="1"/>
    <col min="9471" max="9471" width="12.54296875" customWidth="1"/>
    <col min="9472" max="9473" width="8.453125" customWidth="1"/>
    <col min="9474" max="9474" width="12.81640625" bestFit="1" customWidth="1"/>
    <col min="9475" max="9475" width="11.453125" customWidth="1"/>
    <col min="9476" max="9477" width="9.1796875" customWidth="1"/>
    <col min="9478" max="9478" width="20.81640625" customWidth="1"/>
    <col min="9479" max="9479" width="11.81640625" customWidth="1"/>
    <col min="9480" max="9723" width="11.453125" customWidth="1"/>
    <col min="9724" max="9724" width="3.81640625" customWidth="1"/>
    <col min="9725" max="9725" width="37.81640625" customWidth="1"/>
    <col min="9726" max="9726" width="8.81640625" customWidth="1"/>
    <col min="9727" max="9727" width="12.54296875" customWidth="1"/>
    <col min="9728" max="9729" width="8.453125" customWidth="1"/>
    <col min="9730" max="9730" width="12.81640625" bestFit="1" customWidth="1"/>
    <col min="9731" max="9731" width="11.453125" customWidth="1"/>
    <col min="9732" max="9733" width="9.1796875" customWidth="1"/>
    <col min="9734" max="9734" width="20.81640625" customWidth="1"/>
    <col min="9735" max="9735" width="11.81640625" customWidth="1"/>
    <col min="9736" max="9979" width="11.453125" customWidth="1"/>
    <col min="9980" max="9980" width="3.81640625" customWidth="1"/>
    <col min="9981" max="9981" width="37.81640625" customWidth="1"/>
    <col min="9982" max="9982" width="8.81640625" customWidth="1"/>
    <col min="9983" max="9983" width="12.54296875" customWidth="1"/>
    <col min="9984" max="9985" width="8.453125" customWidth="1"/>
    <col min="9986" max="9986" width="12.81640625" bestFit="1" customWidth="1"/>
    <col min="9987" max="9987" width="11.453125" customWidth="1"/>
    <col min="9988" max="9989" width="9.1796875" customWidth="1"/>
    <col min="9990" max="9990" width="20.81640625" customWidth="1"/>
    <col min="9991" max="9991" width="11.81640625" customWidth="1"/>
    <col min="9992" max="10235" width="11.453125" customWidth="1"/>
    <col min="10236" max="10236" width="3.81640625" customWidth="1"/>
    <col min="10237" max="10237" width="37.81640625" customWidth="1"/>
    <col min="10238" max="10238" width="8.81640625" customWidth="1"/>
    <col min="10239" max="10239" width="12.54296875" customWidth="1"/>
    <col min="10240" max="10241" width="8.453125" customWidth="1"/>
    <col min="10242" max="10242" width="12.81640625" bestFit="1" customWidth="1"/>
    <col min="10243" max="10243" width="11.453125" customWidth="1"/>
    <col min="10244" max="10245" width="9.1796875" customWidth="1"/>
    <col min="10246" max="10246" width="20.81640625" customWidth="1"/>
    <col min="10247" max="10247" width="11.81640625" customWidth="1"/>
    <col min="10248" max="10491" width="11.453125" customWidth="1"/>
    <col min="10492" max="10492" width="3.81640625" customWidth="1"/>
    <col min="10493" max="10493" width="37.81640625" customWidth="1"/>
    <col min="10494" max="10494" width="8.81640625" customWidth="1"/>
    <col min="10495" max="10495" width="12.54296875" customWidth="1"/>
    <col min="10496" max="10497" width="8.453125" customWidth="1"/>
    <col min="10498" max="10498" width="12.81640625" bestFit="1" customWidth="1"/>
    <col min="10499" max="10499" width="11.453125" customWidth="1"/>
    <col min="10500" max="10501" width="9.1796875" customWidth="1"/>
    <col min="10502" max="10502" width="20.81640625" customWidth="1"/>
    <col min="10503" max="10503" width="11.81640625" customWidth="1"/>
    <col min="10504" max="10747" width="11.453125" customWidth="1"/>
    <col min="10748" max="10748" width="3.81640625" customWidth="1"/>
    <col min="10749" max="10749" width="37.81640625" customWidth="1"/>
    <col min="10750" max="10750" width="8.81640625" customWidth="1"/>
    <col min="10751" max="10751" width="12.54296875" customWidth="1"/>
    <col min="10752" max="10753" width="8.453125" customWidth="1"/>
    <col min="10754" max="10754" width="12.81640625" bestFit="1" customWidth="1"/>
    <col min="10755" max="10755" width="11.453125" customWidth="1"/>
    <col min="10756" max="10757" width="9.1796875" customWidth="1"/>
    <col min="10758" max="10758" width="20.81640625" customWidth="1"/>
    <col min="10759" max="10759" width="11.81640625" customWidth="1"/>
    <col min="10760" max="11003" width="11.453125" customWidth="1"/>
    <col min="11004" max="11004" width="3.81640625" customWidth="1"/>
    <col min="11005" max="11005" width="37.81640625" customWidth="1"/>
    <col min="11006" max="11006" width="8.81640625" customWidth="1"/>
    <col min="11007" max="11007" width="12.54296875" customWidth="1"/>
    <col min="11008" max="11009" width="8.453125" customWidth="1"/>
    <col min="11010" max="11010" width="12.81640625" bestFit="1" customWidth="1"/>
    <col min="11011" max="11011" width="11.453125" customWidth="1"/>
    <col min="11012" max="11013" width="9.1796875" customWidth="1"/>
    <col min="11014" max="11014" width="20.81640625" customWidth="1"/>
    <col min="11015" max="11015" width="11.81640625" customWidth="1"/>
    <col min="11016" max="11259" width="11.453125" customWidth="1"/>
    <col min="11260" max="11260" width="3.81640625" customWidth="1"/>
    <col min="11261" max="11261" width="37.81640625" customWidth="1"/>
    <col min="11262" max="11262" width="8.81640625" customWidth="1"/>
    <col min="11263" max="11263" width="12.54296875" customWidth="1"/>
    <col min="11264" max="11265" width="8.453125" customWidth="1"/>
    <col min="11266" max="11266" width="12.81640625" bestFit="1" customWidth="1"/>
    <col min="11267" max="11267" width="11.453125" customWidth="1"/>
    <col min="11268" max="11269" width="9.1796875" customWidth="1"/>
    <col min="11270" max="11270" width="20.81640625" customWidth="1"/>
    <col min="11271" max="11271" width="11.81640625" customWidth="1"/>
    <col min="11272" max="11515" width="11.453125" customWidth="1"/>
    <col min="11516" max="11516" width="3.81640625" customWidth="1"/>
    <col min="11517" max="11517" width="37.81640625" customWidth="1"/>
    <col min="11518" max="11518" width="8.81640625" customWidth="1"/>
    <col min="11519" max="11519" width="12.54296875" customWidth="1"/>
    <col min="11520" max="11521" width="8.453125" customWidth="1"/>
    <col min="11522" max="11522" width="12.81640625" bestFit="1" customWidth="1"/>
    <col min="11523" max="11523" width="11.453125" customWidth="1"/>
    <col min="11524" max="11525" width="9.1796875" customWidth="1"/>
    <col min="11526" max="11526" width="20.81640625" customWidth="1"/>
    <col min="11527" max="11527" width="11.81640625" customWidth="1"/>
    <col min="11528" max="11771" width="11.453125" customWidth="1"/>
    <col min="11772" max="11772" width="3.81640625" customWidth="1"/>
    <col min="11773" max="11773" width="37.81640625" customWidth="1"/>
    <col min="11774" max="11774" width="8.81640625" customWidth="1"/>
    <col min="11775" max="11775" width="12.54296875" customWidth="1"/>
    <col min="11776" max="11777" width="8.453125" customWidth="1"/>
    <col min="11778" max="11778" width="12.81640625" bestFit="1" customWidth="1"/>
    <col min="11779" max="11779" width="11.453125" customWidth="1"/>
    <col min="11780" max="11781" width="9.1796875" customWidth="1"/>
    <col min="11782" max="11782" width="20.81640625" customWidth="1"/>
    <col min="11783" max="11783" width="11.81640625" customWidth="1"/>
    <col min="11784" max="12027" width="11.453125" customWidth="1"/>
    <col min="12028" max="12028" width="3.81640625" customWidth="1"/>
    <col min="12029" max="12029" width="37.81640625" customWidth="1"/>
    <col min="12030" max="12030" width="8.81640625" customWidth="1"/>
    <col min="12031" max="12031" width="12.54296875" customWidth="1"/>
    <col min="12032" max="12033" width="8.453125" customWidth="1"/>
    <col min="12034" max="12034" width="12.81640625" bestFit="1" customWidth="1"/>
    <col min="12035" max="12035" width="11.453125" customWidth="1"/>
    <col min="12036" max="12037" width="9.1796875" customWidth="1"/>
    <col min="12038" max="12038" width="20.81640625" customWidth="1"/>
    <col min="12039" max="12039" width="11.81640625" customWidth="1"/>
    <col min="12040" max="12283" width="11.453125" customWidth="1"/>
    <col min="12284" max="12284" width="3.81640625" customWidth="1"/>
    <col min="12285" max="12285" width="37.81640625" customWidth="1"/>
    <col min="12286" max="12286" width="8.81640625" customWidth="1"/>
    <col min="12287" max="12287" width="12.54296875" customWidth="1"/>
    <col min="12288" max="12289" width="8.453125" customWidth="1"/>
    <col min="12290" max="12290" width="12.81640625" bestFit="1" customWidth="1"/>
    <col min="12291" max="12291" width="11.453125" customWidth="1"/>
    <col min="12292" max="12293" width="9.1796875" customWidth="1"/>
    <col min="12294" max="12294" width="20.81640625" customWidth="1"/>
    <col min="12295" max="12295" width="11.81640625" customWidth="1"/>
    <col min="12296" max="12539" width="11.453125" customWidth="1"/>
    <col min="12540" max="12540" width="3.81640625" customWidth="1"/>
    <col min="12541" max="12541" width="37.81640625" customWidth="1"/>
    <col min="12542" max="12542" width="8.81640625" customWidth="1"/>
    <col min="12543" max="12543" width="12.54296875" customWidth="1"/>
    <col min="12544" max="12545" width="8.453125" customWidth="1"/>
    <col min="12546" max="12546" width="12.81640625" bestFit="1" customWidth="1"/>
    <col min="12547" max="12547" width="11.453125" customWidth="1"/>
    <col min="12548" max="12549" width="9.1796875" customWidth="1"/>
    <col min="12550" max="12550" width="20.81640625" customWidth="1"/>
    <col min="12551" max="12551" width="11.81640625" customWidth="1"/>
    <col min="12552" max="12795" width="11.453125" customWidth="1"/>
    <col min="12796" max="12796" width="3.81640625" customWidth="1"/>
    <col min="12797" max="12797" width="37.81640625" customWidth="1"/>
    <col min="12798" max="12798" width="8.81640625" customWidth="1"/>
    <col min="12799" max="12799" width="12.54296875" customWidth="1"/>
    <col min="12800" max="12801" width="8.453125" customWidth="1"/>
    <col min="12802" max="12802" width="12.81640625" bestFit="1" customWidth="1"/>
    <col min="12803" max="12803" width="11.453125" customWidth="1"/>
    <col min="12804" max="12805" width="9.1796875" customWidth="1"/>
    <col min="12806" max="12806" width="20.81640625" customWidth="1"/>
    <col min="12807" max="12807" width="11.81640625" customWidth="1"/>
    <col min="12808" max="13051" width="11.453125" customWidth="1"/>
    <col min="13052" max="13052" width="3.81640625" customWidth="1"/>
    <col min="13053" max="13053" width="37.81640625" customWidth="1"/>
    <col min="13054" max="13054" width="8.81640625" customWidth="1"/>
    <col min="13055" max="13055" width="12.54296875" customWidth="1"/>
    <col min="13056" max="13057" width="8.453125" customWidth="1"/>
    <col min="13058" max="13058" width="12.81640625" bestFit="1" customWidth="1"/>
    <col min="13059" max="13059" width="11.453125" customWidth="1"/>
    <col min="13060" max="13061" width="9.1796875" customWidth="1"/>
    <col min="13062" max="13062" width="20.81640625" customWidth="1"/>
    <col min="13063" max="13063" width="11.81640625" customWidth="1"/>
    <col min="13064" max="13307" width="11.453125" customWidth="1"/>
    <col min="13308" max="13308" width="3.81640625" customWidth="1"/>
    <col min="13309" max="13309" width="37.81640625" customWidth="1"/>
    <col min="13310" max="13310" width="8.81640625" customWidth="1"/>
    <col min="13311" max="13311" width="12.54296875" customWidth="1"/>
    <col min="13312" max="13313" width="8.453125" customWidth="1"/>
    <col min="13314" max="13314" width="12.81640625" bestFit="1" customWidth="1"/>
    <col min="13315" max="13315" width="11.453125" customWidth="1"/>
    <col min="13316" max="13317" width="9.1796875" customWidth="1"/>
    <col min="13318" max="13318" width="20.81640625" customWidth="1"/>
    <col min="13319" max="13319" width="11.81640625" customWidth="1"/>
    <col min="13320" max="13563" width="11.453125" customWidth="1"/>
    <col min="13564" max="13564" width="3.81640625" customWidth="1"/>
    <col min="13565" max="13565" width="37.81640625" customWidth="1"/>
    <col min="13566" max="13566" width="8.81640625" customWidth="1"/>
    <col min="13567" max="13567" width="12.54296875" customWidth="1"/>
    <col min="13568" max="13569" width="8.453125" customWidth="1"/>
    <col min="13570" max="13570" width="12.81640625" bestFit="1" customWidth="1"/>
    <col min="13571" max="13571" width="11.453125" customWidth="1"/>
    <col min="13572" max="13573" width="9.1796875" customWidth="1"/>
    <col min="13574" max="13574" width="20.81640625" customWidth="1"/>
    <col min="13575" max="13575" width="11.81640625" customWidth="1"/>
    <col min="13576" max="13819" width="11.453125" customWidth="1"/>
    <col min="13820" max="13820" width="3.81640625" customWidth="1"/>
    <col min="13821" max="13821" width="37.81640625" customWidth="1"/>
    <col min="13822" max="13822" width="8.81640625" customWidth="1"/>
    <col min="13823" max="13823" width="12.54296875" customWidth="1"/>
    <col min="13824" max="13825" width="8.453125" customWidth="1"/>
    <col min="13826" max="13826" width="12.81640625" bestFit="1" customWidth="1"/>
    <col min="13827" max="13827" width="11.453125" customWidth="1"/>
    <col min="13828" max="13829" width="9.1796875" customWidth="1"/>
    <col min="13830" max="13830" width="20.81640625" customWidth="1"/>
    <col min="13831" max="13831" width="11.81640625" customWidth="1"/>
    <col min="13832" max="14075" width="11.453125" customWidth="1"/>
    <col min="14076" max="14076" width="3.81640625" customWidth="1"/>
    <col min="14077" max="14077" width="37.81640625" customWidth="1"/>
    <col min="14078" max="14078" width="8.81640625" customWidth="1"/>
    <col min="14079" max="14079" width="12.54296875" customWidth="1"/>
    <col min="14080" max="14081" width="8.453125" customWidth="1"/>
    <col min="14082" max="14082" width="12.81640625" bestFit="1" customWidth="1"/>
    <col min="14083" max="14083" width="11.453125" customWidth="1"/>
    <col min="14084" max="14085" width="9.1796875" customWidth="1"/>
    <col min="14086" max="14086" width="20.81640625" customWidth="1"/>
    <col min="14087" max="14087" width="11.81640625" customWidth="1"/>
    <col min="14088" max="14331" width="11.453125" customWidth="1"/>
    <col min="14332" max="14332" width="3.81640625" customWidth="1"/>
    <col min="14333" max="14333" width="37.81640625" customWidth="1"/>
    <col min="14334" max="14334" width="8.81640625" customWidth="1"/>
    <col min="14335" max="14335" width="12.54296875" customWidth="1"/>
    <col min="14336" max="14337" width="8.453125" customWidth="1"/>
    <col min="14338" max="14338" width="12.81640625" bestFit="1" customWidth="1"/>
    <col min="14339" max="14339" width="11.453125" customWidth="1"/>
    <col min="14340" max="14341" width="9.1796875" customWidth="1"/>
    <col min="14342" max="14342" width="20.81640625" customWidth="1"/>
    <col min="14343" max="14343" width="11.81640625" customWidth="1"/>
    <col min="14344" max="14587" width="11.453125" customWidth="1"/>
    <col min="14588" max="14588" width="3.81640625" customWidth="1"/>
    <col min="14589" max="14589" width="37.81640625" customWidth="1"/>
    <col min="14590" max="14590" width="8.81640625" customWidth="1"/>
    <col min="14591" max="14591" width="12.54296875" customWidth="1"/>
    <col min="14592" max="14593" width="8.453125" customWidth="1"/>
    <col min="14594" max="14594" width="12.81640625" bestFit="1" customWidth="1"/>
    <col min="14595" max="14595" width="11.453125" customWidth="1"/>
    <col min="14596" max="14597" width="9.1796875" customWidth="1"/>
    <col min="14598" max="14598" width="20.81640625" customWidth="1"/>
    <col min="14599" max="14599" width="11.81640625" customWidth="1"/>
    <col min="14600" max="14843" width="11.453125" customWidth="1"/>
    <col min="14844" max="14844" width="3.81640625" customWidth="1"/>
    <col min="14845" max="14845" width="37.81640625" customWidth="1"/>
    <col min="14846" max="14846" width="8.81640625" customWidth="1"/>
    <col min="14847" max="14847" width="12.54296875" customWidth="1"/>
    <col min="14848" max="14849" width="8.453125" customWidth="1"/>
    <col min="14850" max="14850" width="12.81640625" bestFit="1" customWidth="1"/>
    <col min="14851" max="14851" width="11.453125" customWidth="1"/>
    <col min="14852" max="14853" width="9.1796875" customWidth="1"/>
    <col min="14854" max="14854" width="20.81640625" customWidth="1"/>
    <col min="14855" max="14855" width="11.81640625" customWidth="1"/>
    <col min="14856" max="15099" width="11.453125" customWidth="1"/>
    <col min="15100" max="15100" width="3.81640625" customWidth="1"/>
    <col min="15101" max="15101" width="37.81640625" customWidth="1"/>
    <col min="15102" max="15102" width="8.81640625" customWidth="1"/>
    <col min="15103" max="15103" width="12.54296875" customWidth="1"/>
    <col min="15104" max="15105" width="8.453125" customWidth="1"/>
    <col min="15106" max="15106" width="12.81640625" bestFit="1" customWidth="1"/>
    <col min="15107" max="15107" width="11.453125" customWidth="1"/>
    <col min="15108" max="15109" width="9.1796875" customWidth="1"/>
    <col min="15110" max="15110" width="20.81640625" customWidth="1"/>
    <col min="15111" max="15111" width="11.81640625" customWidth="1"/>
    <col min="15112" max="15355" width="11.453125" customWidth="1"/>
    <col min="15356" max="15356" width="3.81640625" customWidth="1"/>
    <col min="15357" max="15357" width="37.81640625" customWidth="1"/>
    <col min="15358" max="15358" width="8.81640625" customWidth="1"/>
    <col min="15359" max="15359" width="12.54296875" customWidth="1"/>
    <col min="15360" max="15361" width="8.453125" customWidth="1"/>
    <col min="15362" max="15362" width="12.81640625" bestFit="1" customWidth="1"/>
    <col min="15363" max="15363" width="11.453125" customWidth="1"/>
    <col min="15364" max="15365" width="9.1796875" customWidth="1"/>
    <col min="15366" max="15366" width="20.81640625" customWidth="1"/>
    <col min="15367" max="15367" width="11.81640625" customWidth="1"/>
    <col min="15368" max="15611" width="11.453125" customWidth="1"/>
    <col min="15612" max="15612" width="3.81640625" customWidth="1"/>
    <col min="15613" max="15613" width="37.81640625" customWidth="1"/>
    <col min="15614" max="15614" width="8.81640625" customWidth="1"/>
    <col min="15615" max="15615" width="12.54296875" customWidth="1"/>
    <col min="15616" max="15617" width="8.453125" customWidth="1"/>
    <col min="15618" max="15618" width="12.81640625" bestFit="1" customWidth="1"/>
    <col min="15619" max="15619" width="11.453125" customWidth="1"/>
    <col min="15620" max="15621" width="9.1796875" customWidth="1"/>
    <col min="15622" max="15622" width="20.81640625" customWidth="1"/>
    <col min="15623" max="15623" width="11.81640625" customWidth="1"/>
    <col min="15624" max="15867" width="11.453125" customWidth="1"/>
    <col min="15868" max="15868" width="3.81640625" customWidth="1"/>
    <col min="15869" max="15869" width="37.81640625" customWidth="1"/>
    <col min="15870" max="15870" width="8.81640625" customWidth="1"/>
    <col min="15871" max="15871" width="12.54296875" customWidth="1"/>
    <col min="15872" max="15873" width="8.453125" customWidth="1"/>
    <col min="15874" max="15874" width="12.81640625" bestFit="1" customWidth="1"/>
    <col min="15875" max="15875" width="11.453125" customWidth="1"/>
    <col min="15876" max="15877" width="9.1796875" customWidth="1"/>
    <col min="15878" max="15878" width="20.81640625" customWidth="1"/>
    <col min="15879" max="15879" width="11.81640625" customWidth="1"/>
    <col min="15880" max="16123" width="11.453125" customWidth="1"/>
    <col min="16124" max="16124" width="3.81640625" customWidth="1"/>
    <col min="16125" max="16125" width="37.81640625" customWidth="1"/>
    <col min="16126" max="16126" width="8.81640625" customWidth="1"/>
    <col min="16127" max="16127" width="12.54296875" customWidth="1"/>
    <col min="16128" max="16129" width="8.453125" customWidth="1"/>
    <col min="16130" max="16130" width="12.81640625" bestFit="1" customWidth="1"/>
    <col min="16131" max="16131" width="11.453125" customWidth="1"/>
    <col min="16132" max="16133" width="9.1796875" customWidth="1"/>
    <col min="16134" max="16134" width="20.81640625" customWidth="1"/>
    <col min="16135" max="16135" width="11.81640625" customWidth="1"/>
    <col min="16136" max="16384" width="11.453125" customWidth="1"/>
  </cols>
  <sheetData>
    <row r="1" spans="1:12" ht="17.25" customHeight="1" thickTop="1" x14ac:dyDescent="0.35">
      <c r="A1" s="159"/>
      <c r="B1" s="160"/>
      <c r="C1" s="165" t="s">
        <v>137</v>
      </c>
      <c r="D1" s="166"/>
      <c r="E1" s="166"/>
      <c r="F1" s="166"/>
      <c r="G1" s="166"/>
      <c r="H1" s="166"/>
    </row>
    <row r="2" spans="1:12" ht="28.5" customHeight="1" x14ac:dyDescent="0.35">
      <c r="A2" s="161"/>
      <c r="B2" s="162"/>
      <c r="C2" s="167"/>
      <c r="D2" s="168"/>
      <c r="E2" s="168"/>
      <c r="F2" s="168"/>
      <c r="G2" s="168"/>
      <c r="H2" s="168"/>
    </row>
    <row r="3" spans="1:12" ht="31.5" customHeight="1" x14ac:dyDescent="0.35">
      <c r="A3" s="163"/>
      <c r="B3" s="164"/>
      <c r="C3" s="169"/>
      <c r="D3" s="170"/>
      <c r="E3" s="170"/>
      <c r="F3" s="170"/>
      <c r="G3" s="170"/>
      <c r="H3" s="170"/>
    </row>
    <row r="4" spans="1:12" s="4" customFormat="1" ht="12.75" customHeight="1" x14ac:dyDescent="0.2">
      <c r="A4" s="102"/>
      <c r="B4" s="89"/>
      <c r="C4" s="171" t="s">
        <v>0</v>
      </c>
      <c r="D4" s="171"/>
      <c r="E4" s="171"/>
      <c r="F4" s="171"/>
      <c r="G4" s="172"/>
      <c r="H4" s="149">
        <v>607.65599999999995</v>
      </c>
    </row>
    <row r="5" spans="1:12" s="103" customFormat="1" ht="12.75" customHeight="1" x14ac:dyDescent="0.25">
      <c r="A5" s="173"/>
      <c r="B5" s="174" t="s">
        <v>3</v>
      </c>
      <c r="C5" s="175" t="s">
        <v>4</v>
      </c>
      <c r="D5" s="175" t="s">
        <v>5</v>
      </c>
      <c r="E5" s="177" t="s">
        <v>6</v>
      </c>
      <c r="F5" s="178"/>
      <c r="G5" s="179" t="s">
        <v>7</v>
      </c>
      <c r="H5" s="157" t="s">
        <v>8</v>
      </c>
    </row>
    <row r="6" spans="1:12" s="103" customFormat="1" ht="12.75" customHeight="1" x14ac:dyDescent="0.25">
      <c r="A6" s="173"/>
      <c r="B6" s="174"/>
      <c r="C6" s="176"/>
      <c r="D6" s="176"/>
      <c r="E6" s="104" t="s">
        <v>9</v>
      </c>
      <c r="F6" s="156" t="s">
        <v>10</v>
      </c>
      <c r="G6" s="180"/>
      <c r="H6" s="158"/>
    </row>
    <row r="7" spans="1:12" s="103" customFormat="1" ht="26" x14ac:dyDescent="0.25">
      <c r="A7" s="105">
        <v>1</v>
      </c>
      <c r="B7" s="106" t="s">
        <v>145</v>
      </c>
      <c r="C7" s="107"/>
      <c r="D7" s="108"/>
      <c r="E7" s="107"/>
      <c r="F7" s="107"/>
      <c r="G7" s="109">
        <f>SUM(G8:G13)</f>
        <v>3466000</v>
      </c>
      <c r="H7" s="154">
        <f>G7/H4</f>
        <v>5703.8850928814991</v>
      </c>
    </row>
    <row r="8" spans="1:12" s="113" customFormat="1" ht="13" x14ac:dyDescent="0.35">
      <c r="A8" s="110"/>
      <c r="B8" s="111" t="s">
        <v>12</v>
      </c>
      <c r="C8" s="112">
        <v>24</v>
      </c>
      <c r="D8" s="112">
        <v>3000</v>
      </c>
      <c r="E8" s="112" t="s">
        <v>13</v>
      </c>
      <c r="F8" s="112">
        <v>5</v>
      </c>
      <c r="G8" s="112">
        <f>+C8*D8*F8</f>
        <v>360000</v>
      </c>
      <c r="H8" s="155">
        <f>G8/$H$4</f>
        <v>592.44045973379684</v>
      </c>
      <c r="L8" s="114"/>
    </row>
    <row r="9" spans="1:12" s="113" customFormat="1" ht="13" x14ac:dyDescent="0.35">
      <c r="A9" s="110"/>
      <c r="B9" s="111" t="s">
        <v>117</v>
      </c>
      <c r="C9" s="112">
        <v>24</v>
      </c>
      <c r="D9" s="112">
        <v>2500</v>
      </c>
      <c r="E9" s="112" t="s">
        <v>13</v>
      </c>
      <c r="F9" s="112">
        <v>5</v>
      </c>
      <c r="G9" s="112">
        <f>+C9*D9*F9</f>
        <v>300000</v>
      </c>
      <c r="H9" s="155">
        <f t="shared" ref="H9:H20" si="0">G9/$H$4</f>
        <v>493.70038311149733</v>
      </c>
    </row>
    <row r="10" spans="1:12" s="113" customFormat="1" ht="13" x14ac:dyDescent="0.35">
      <c r="A10" s="110"/>
      <c r="B10" s="111" t="s">
        <v>15</v>
      </c>
      <c r="C10" s="112">
        <v>24</v>
      </c>
      <c r="D10" s="112">
        <v>11500</v>
      </c>
      <c r="E10" s="112" t="s">
        <v>13</v>
      </c>
      <c r="F10" s="112">
        <v>5</v>
      </c>
      <c r="G10" s="112">
        <f>+C10*D10*F10</f>
        <v>1380000</v>
      </c>
      <c r="H10" s="155">
        <f t="shared" si="0"/>
        <v>2271.0217623128879</v>
      </c>
    </row>
    <row r="11" spans="1:12" s="113" customFormat="1" ht="13" x14ac:dyDescent="0.35">
      <c r="A11" s="110"/>
      <c r="B11" s="111" t="s">
        <v>120</v>
      </c>
      <c r="C11" s="112">
        <v>24</v>
      </c>
      <c r="D11" s="112">
        <v>800</v>
      </c>
      <c r="E11" s="112" t="s">
        <v>13</v>
      </c>
      <c r="F11" s="112">
        <v>5</v>
      </c>
      <c r="G11" s="112">
        <f>+C11*D11*F11</f>
        <v>96000</v>
      </c>
      <c r="H11" s="155">
        <f t="shared" si="0"/>
        <v>157.98412259567914</v>
      </c>
    </row>
    <row r="12" spans="1:12" s="113" customFormat="1" ht="13" x14ac:dyDescent="0.35">
      <c r="A12" s="110"/>
      <c r="B12" s="115" t="s">
        <v>119</v>
      </c>
      <c r="C12" s="112">
        <v>1</v>
      </c>
      <c r="D12" s="112">
        <v>250000</v>
      </c>
      <c r="E12" s="112" t="s">
        <v>13</v>
      </c>
      <c r="F12" s="112">
        <v>5</v>
      </c>
      <c r="G12" s="112">
        <f>+C12*D12*F12</f>
        <v>1250000</v>
      </c>
      <c r="H12" s="155">
        <f t="shared" si="0"/>
        <v>2057.084929631239</v>
      </c>
    </row>
    <row r="13" spans="1:12" s="113" customFormat="1" ht="13" x14ac:dyDescent="0.35">
      <c r="A13" s="110"/>
      <c r="B13" s="145" t="s">
        <v>133</v>
      </c>
      <c r="C13" s="112">
        <v>1</v>
      </c>
      <c r="D13" s="116"/>
      <c r="E13" s="116"/>
      <c r="F13" s="116"/>
      <c r="G13" s="112">
        <v>80000</v>
      </c>
      <c r="H13" s="155">
        <f t="shared" si="0"/>
        <v>131.65343549639928</v>
      </c>
    </row>
    <row r="14" spans="1:12" s="103" customFormat="1" ht="13" x14ac:dyDescent="0.25">
      <c r="A14" s="105">
        <v>2</v>
      </c>
      <c r="B14" s="106" t="s">
        <v>20</v>
      </c>
      <c r="C14" s="107"/>
      <c r="D14" s="108"/>
      <c r="E14" s="107"/>
      <c r="F14" s="107"/>
      <c r="G14" s="117">
        <f>SUM(G15:G20)</f>
        <v>67600</v>
      </c>
      <c r="H14" s="154">
        <f>G14/H4</f>
        <v>111.24715299445739</v>
      </c>
    </row>
    <row r="15" spans="1:12" s="103" customFormat="1" ht="13" x14ac:dyDescent="0.25">
      <c r="A15" s="118"/>
      <c r="B15" s="119" t="s">
        <v>22</v>
      </c>
      <c r="C15" s="120">
        <v>20</v>
      </c>
      <c r="D15" s="120">
        <v>100</v>
      </c>
      <c r="E15" s="121"/>
      <c r="F15" s="121"/>
      <c r="G15" s="120">
        <f>+C15*D15</f>
        <v>2000</v>
      </c>
      <c r="H15" s="155">
        <f>G15/$H$4</f>
        <v>3.2913358874099821</v>
      </c>
    </row>
    <row r="16" spans="1:12" s="103" customFormat="1" ht="13" x14ac:dyDescent="0.25">
      <c r="A16" s="122"/>
      <c r="B16" s="119" t="s">
        <v>25</v>
      </c>
      <c r="C16" s="120">
        <v>20</v>
      </c>
      <c r="D16" s="120">
        <v>1500</v>
      </c>
      <c r="E16" s="121"/>
      <c r="F16" s="121"/>
      <c r="G16" s="120">
        <f>+C16*D16</f>
        <v>30000</v>
      </c>
      <c r="H16" s="155">
        <f t="shared" si="0"/>
        <v>49.370038311149735</v>
      </c>
    </row>
    <row r="17" spans="1:9" s="103" customFormat="1" ht="13" x14ac:dyDescent="0.25">
      <c r="A17" s="118"/>
      <c r="B17" s="119" t="s">
        <v>115</v>
      </c>
      <c r="C17" s="120">
        <v>20</v>
      </c>
      <c r="D17" s="120">
        <v>500</v>
      </c>
      <c r="E17" s="121"/>
      <c r="F17" s="121"/>
      <c r="G17" s="120">
        <f t="shared" ref="G17:G19" si="1">+C17*D17</f>
        <v>10000</v>
      </c>
      <c r="H17" s="155">
        <f t="shared" si="0"/>
        <v>16.45667943704991</v>
      </c>
    </row>
    <row r="18" spans="1:9" s="103" customFormat="1" ht="13" x14ac:dyDescent="0.25">
      <c r="A18" s="118"/>
      <c r="B18" s="119" t="s">
        <v>27</v>
      </c>
      <c r="C18" s="120">
        <v>20</v>
      </c>
      <c r="D18" s="120">
        <v>200</v>
      </c>
      <c r="E18" s="121"/>
      <c r="F18" s="121"/>
      <c r="G18" s="120">
        <f t="shared" si="1"/>
        <v>4000</v>
      </c>
      <c r="H18" s="155">
        <f t="shared" si="0"/>
        <v>6.5826717748199641</v>
      </c>
    </row>
    <row r="19" spans="1:9" s="103" customFormat="1" ht="13" x14ac:dyDescent="0.25">
      <c r="A19" s="118"/>
      <c r="B19" s="119" t="s">
        <v>118</v>
      </c>
      <c r="C19" s="120">
        <v>4</v>
      </c>
      <c r="D19" s="120">
        <v>400</v>
      </c>
      <c r="E19" s="121"/>
      <c r="F19" s="121"/>
      <c r="G19" s="120">
        <f t="shared" si="1"/>
        <v>1600</v>
      </c>
      <c r="H19" s="155">
        <f t="shared" si="0"/>
        <v>2.6330687099279859</v>
      </c>
    </row>
    <row r="20" spans="1:9" s="103" customFormat="1" ht="13" x14ac:dyDescent="0.25">
      <c r="A20" s="118"/>
      <c r="B20" s="119" t="s">
        <v>121</v>
      </c>
      <c r="C20" s="120">
        <v>1</v>
      </c>
      <c r="D20" s="120"/>
      <c r="E20" s="121"/>
      <c r="F20" s="121"/>
      <c r="G20" s="120">
        <v>20000</v>
      </c>
      <c r="H20" s="155">
        <f t="shared" si="0"/>
        <v>32.913358874099821</v>
      </c>
    </row>
    <row r="21" spans="1:9" s="103" customFormat="1" ht="13" x14ac:dyDescent="0.25">
      <c r="A21" s="105">
        <v>3</v>
      </c>
      <c r="B21" s="106" t="s">
        <v>150</v>
      </c>
      <c r="C21" s="107"/>
      <c r="D21" s="108"/>
      <c r="E21" s="107"/>
      <c r="F21" s="107"/>
      <c r="G21" s="117">
        <f>SUM(G23:G25)</f>
        <v>6208000</v>
      </c>
      <c r="H21" s="154">
        <f>G21/H4</f>
        <v>10216.306594520585</v>
      </c>
    </row>
    <row r="22" spans="1:9" s="113" customFormat="1" ht="13" x14ac:dyDescent="0.35">
      <c r="A22" s="110"/>
      <c r="B22" s="123" t="s">
        <v>114</v>
      </c>
      <c r="C22" s="112"/>
      <c r="D22" s="112"/>
      <c r="E22" s="112"/>
      <c r="F22" s="112"/>
      <c r="G22" s="112"/>
      <c r="H22" s="150"/>
    </row>
    <row r="23" spans="1:9" s="113" customFormat="1" ht="13" x14ac:dyDescent="0.35">
      <c r="A23" s="110"/>
      <c r="B23" s="124" t="s">
        <v>151</v>
      </c>
      <c r="C23" s="112">
        <v>16</v>
      </c>
      <c r="D23" s="112">
        <v>15000</v>
      </c>
      <c r="E23" s="112" t="s">
        <v>110</v>
      </c>
      <c r="F23" s="112">
        <v>14</v>
      </c>
      <c r="G23" s="112">
        <f t="shared" ref="G23" si="2">+C23*D23*F23</f>
        <v>3360000</v>
      </c>
      <c r="H23" s="155">
        <f>G23/$H$4</f>
        <v>5529.4442908487699</v>
      </c>
    </row>
    <row r="24" spans="1:9" s="113" customFormat="1" ht="13" x14ac:dyDescent="0.35">
      <c r="A24" s="110"/>
      <c r="B24" s="124" t="s">
        <v>152</v>
      </c>
      <c r="C24" s="150">
        <v>16</v>
      </c>
      <c r="D24" s="112">
        <v>12000</v>
      </c>
      <c r="E24" s="112" t="s">
        <v>13</v>
      </c>
      <c r="F24" s="112">
        <v>14</v>
      </c>
      <c r="G24" s="112">
        <f>+C24*D24*F24</f>
        <v>2688000</v>
      </c>
      <c r="H24" s="155">
        <f t="shared" ref="H24:H25" si="3">G24/$H$4</f>
        <v>4423.5554326790161</v>
      </c>
    </row>
    <row r="25" spans="1:9" s="113" customFormat="1" ht="13" x14ac:dyDescent="0.35">
      <c r="A25" s="110"/>
      <c r="B25" s="124" t="s">
        <v>153</v>
      </c>
      <c r="C25" s="150">
        <v>1</v>
      </c>
      <c r="D25" s="112">
        <v>10000</v>
      </c>
      <c r="E25" s="112" t="s">
        <v>13</v>
      </c>
      <c r="F25" s="112">
        <v>16</v>
      </c>
      <c r="G25" s="112">
        <f>+C25*D25*F25</f>
        <v>160000</v>
      </c>
      <c r="H25" s="155">
        <f t="shared" si="3"/>
        <v>263.30687099279857</v>
      </c>
    </row>
    <row r="26" spans="1:9" s="103" customFormat="1" ht="26" hidden="1" x14ac:dyDescent="0.25">
      <c r="A26" s="105">
        <v>4</v>
      </c>
      <c r="B26" s="128" t="s">
        <v>69</v>
      </c>
      <c r="C26" s="107"/>
      <c r="D26" s="107"/>
      <c r="E26" s="107"/>
      <c r="F26" s="107"/>
      <c r="G26" s="117"/>
      <c r="H26" s="153">
        <f>G26/H4</f>
        <v>0</v>
      </c>
    </row>
    <row r="27" spans="1:9" s="113" customFormat="1" ht="26" hidden="1" x14ac:dyDescent="0.35">
      <c r="A27" s="129"/>
      <c r="B27" s="130" t="s">
        <v>107</v>
      </c>
      <c r="C27" s="120">
        <v>1</v>
      </c>
      <c r="D27" s="120"/>
      <c r="E27" s="121"/>
      <c r="F27" s="121"/>
      <c r="G27" s="120"/>
      <c r="H27" s="155">
        <f>G27/$H$4</f>
        <v>0</v>
      </c>
    </row>
    <row r="28" spans="1:9" s="113" customFormat="1" ht="23.25" hidden="1" customHeight="1" x14ac:dyDescent="0.35">
      <c r="A28" s="129"/>
      <c r="B28" s="130" t="s">
        <v>70</v>
      </c>
      <c r="C28" s="140">
        <v>7</v>
      </c>
      <c r="D28" s="120">
        <v>15000000</v>
      </c>
      <c r="E28" s="121"/>
      <c r="F28" s="121"/>
      <c r="G28" s="120"/>
      <c r="H28" s="152">
        <v>0</v>
      </c>
      <c r="I28" s="131"/>
    </row>
    <row r="29" spans="1:9" s="132" customFormat="1" ht="13" hidden="1" customHeight="1" x14ac:dyDescent="0.3">
      <c r="A29" s="105">
        <v>5</v>
      </c>
      <c r="B29" s="106" t="s">
        <v>68</v>
      </c>
      <c r="C29" s="107"/>
      <c r="D29" s="107"/>
      <c r="E29" s="107"/>
      <c r="F29" s="107"/>
      <c r="G29" s="117">
        <f>SUM(G30:G34)</f>
        <v>0</v>
      </c>
      <c r="H29" s="153">
        <v>0</v>
      </c>
    </row>
    <row r="30" spans="1:9" s="113" customFormat="1" ht="13" hidden="1" customHeight="1" x14ac:dyDescent="0.35">
      <c r="A30" s="129"/>
      <c r="B30" s="133"/>
      <c r="C30" s="120"/>
      <c r="D30" s="120"/>
      <c r="E30" s="120"/>
      <c r="F30" s="120"/>
      <c r="G30" s="120"/>
      <c r="H30" s="152"/>
    </row>
    <row r="31" spans="1:9" s="113" customFormat="1" ht="52" hidden="1" customHeight="1" x14ac:dyDescent="0.35">
      <c r="A31" s="129"/>
      <c r="B31" s="130" t="s">
        <v>103</v>
      </c>
      <c r="C31" s="134" t="s">
        <v>102</v>
      </c>
      <c r="D31" s="120">
        <v>250000</v>
      </c>
      <c r="E31" s="120" t="s">
        <v>13</v>
      </c>
      <c r="F31" s="120">
        <v>25</v>
      </c>
      <c r="G31" s="120"/>
      <c r="H31" s="152">
        <v>0</v>
      </c>
    </row>
    <row r="32" spans="1:9" s="132" customFormat="1" ht="13" hidden="1" customHeight="1" x14ac:dyDescent="0.3">
      <c r="A32" s="129"/>
      <c r="B32" s="130" t="s">
        <v>104</v>
      </c>
      <c r="C32" s="120">
        <f>'[1]Budget 12000 HH'!D92</f>
        <v>150</v>
      </c>
      <c r="D32" s="120">
        <v>20000</v>
      </c>
      <c r="E32" s="120" t="s">
        <v>106</v>
      </c>
      <c r="F32" s="121"/>
      <c r="G32" s="120"/>
      <c r="H32" s="152">
        <v>0</v>
      </c>
    </row>
    <row r="33" spans="1:10" s="132" customFormat="1" ht="13" hidden="1" customHeight="1" x14ac:dyDescent="0.3">
      <c r="A33" s="129"/>
      <c r="B33" s="130" t="s">
        <v>105</v>
      </c>
      <c r="C33" s="120">
        <v>250</v>
      </c>
      <c r="D33" s="120">
        <v>5000</v>
      </c>
      <c r="E33" s="120" t="s">
        <v>106</v>
      </c>
      <c r="F33" s="121"/>
      <c r="G33" s="120"/>
      <c r="H33" s="152">
        <v>0</v>
      </c>
    </row>
    <row r="34" spans="1:10" s="103" customFormat="1" ht="13" hidden="1" customHeight="1" x14ac:dyDescent="0.25">
      <c r="A34" s="129"/>
      <c r="B34" s="130" t="s">
        <v>108</v>
      </c>
      <c r="C34" s="120">
        <v>40</v>
      </c>
      <c r="D34" s="120">
        <v>10000</v>
      </c>
      <c r="E34" s="120" t="s">
        <v>106</v>
      </c>
      <c r="F34" s="121"/>
      <c r="G34" s="120"/>
      <c r="H34" s="152">
        <v>0</v>
      </c>
    </row>
    <row r="35" spans="1:10" s="103" customFormat="1" ht="13" hidden="1" customHeight="1" x14ac:dyDescent="0.25">
      <c r="A35" s="105">
        <v>6</v>
      </c>
      <c r="B35" s="106" t="s">
        <v>53</v>
      </c>
      <c r="C35" s="107"/>
      <c r="D35" s="108"/>
      <c r="E35" s="107"/>
      <c r="F35" s="107"/>
      <c r="G35" s="117">
        <f>SUM(G36:G39)</f>
        <v>0</v>
      </c>
      <c r="H35" s="151">
        <v>0</v>
      </c>
    </row>
    <row r="36" spans="1:10" s="103" customFormat="1" ht="13" hidden="1" customHeight="1" x14ac:dyDescent="0.25">
      <c r="A36" s="129"/>
      <c r="B36" s="130" t="s">
        <v>14</v>
      </c>
      <c r="C36" s="120">
        <v>50</v>
      </c>
      <c r="D36" s="120">
        <v>6000</v>
      </c>
      <c r="E36" s="120" t="s">
        <v>13</v>
      </c>
      <c r="F36" s="120">
        <v>1</v>
      </c>
      <c r="G36" s="120"/>
      <c r="H36" s="152">
        <v>0</v>
      </c>
    </row>
    <row r="37" spans="1:10" s="103" customFormat="1" ht="13" hidden="1" customHeight="1" x14ac:dyDescent="0.25">
      <c r="A37" s="129"/>
      <c r="B37" s="130" t="s">
        <v>112</v>
      </c>
      <c r="C37" s="120">
        <v>50</v>
      </c>
      <c r="D37" s="120">
        <v>17000</v>
      </c>
      <c r="E37" s="120" t="s">
        <v>13</v>
      </c>
      <c r="F37" s="120">
        <v>1</v>
      </c>
      <c r="G37" s="120"/>
      <c r="H37" s="152">
        <v>0</v>
      </c>
    </row>
    <row r="38" spans="1:10" s="103" customFormat="1" ht="13" hidden="1" customHeight="1" x14ac:dyDescent="0.25">
      <c r="A38" s="129"/>
      <c r="B38" s="130" t="s">
        <v>55</v>
      </c>
      <c r="C38" s="120">
        <v>1</v>
      </c>
      <c r="D38" s="120">
        <v>350000</v>
      </c>
      <c r="E38" s="120" t="s">
        <v>13</v>
      </c>
      <c r="F38" s="120">
        <v>1</v>
      </c>
      <c r="G38" s="120"/>
      <c r="H38" s="152">
        <v>0</v>
      </c>
    </row>
    <row r="39" spans="1:10" s="103" customFormat="1" ht="13" hidden="1" customHeight="1" x14ac:dyDescent="0.25">
      <c r="A39" s="129"/>
      <c r="B39" s="130" t="s">
        <v>56</v>
      </c>
      <c r="C39" s="120">
        <v>5</v>
      </c>
      <c r="D39" s="120">
        <v>20000</v>
      </c>
      <c r="E39" s="120" t="s">
        <v>13</v>
      </c>
      <c r="F39" s="120">
        <v>1</v>
      </c>
      <c r="G39" s="120"/>
      <c r="H39" s="152">
        <v>0</v>
      </c>
    </row>
    <row r="40" spans="1:10" s="103" customFormat="1" ht="13" x14ac:dyDescent="0.25">
      <c r="A40" s="105" t="s">
        <v>59</v>
      </c>
      <c r="B40" s="106" t="s">
        <v>61</v>
      </c>
      <c r="C40" s="107"/>
      <c r="D40" s="108"/>
      <c r="E40" s="107"/>
      <c r="F40" s="107"/>
      <c r="G40" s="117">
        <f>G7+G14+G21+G26</f>
        <v>9741600</v>
      </c>
      <c r="H40" s="154">
        <f>G40/H4</f>
        <v>16031.438840396542</v>
      </c>
    </row>
    <row r="41" spans="1:10" s="103" customFormat="1" ht="13" x14ac:dyDescent="0.25">
      <c r="A41" s="105" t="s">
        <v>60</v>
      </c>
      <c r="B41" s="106" t="s">
        <v>132</v>
      </c>
      <c r="C41" s="107"/>
      <c r="D41" s="108"/>
      <c r="E41" s="107"/>
      <c r="F41" s="107"/>
      <c r="G41" s="117">
        <f>G40*0.05</f>
        <v>487080</v>
      </c>
      <c r="H41" s="154">
        <f>G41/H4</f>
        <v>801.57194201982702</v>
      </c>
      <c r="J41" s="143"/>
    </row>
    <row r="42" spans="1:10" s="132" customFormat="1" ht="13" x14ac:dyDescent="0.3">
      <c r="A42" s="135"/>
      <c r="B42" s="136" t="s">
        <v>62</v>
      </c>
      <c r="C42" s="137"/>
      <c r="D42" s="138"/>
      <c r="E42" s="137"/>
      <c r="F42" s="137"/>
      <c r="G42" s="139">
        <f>G40+G41</f>
        <v>10228680</v>
      </c>
      <c r="H42" s="154">
        <f>H40+H41</f>
        <v>16833.010782416368</v>
      </c>
    </row>
    <row r="43" spans="1:10" x14ac:dyDescent="0.35">
      <c r="A43" s="90"/>
      <c r="B43" s="91"/>
      <c r="C43" s="92"/>
      <c r="D43" s="92"/>
      <c r="E43" s="92"/>
      <c r="F43" s="92"/>
      <c r="G43" s="92"/>
      <c r="H43" s="92"/>
    </row>
    <row r="44" spans="1:10" x14ac:dyDescent="0.35">
      <c r="A44" s="93"/>
      <c r="B44" s="94"/>
      <c r="C44" s="95"/>
      <c r="D44" s="95"/>
      <c r="E44" s="95"/>
      <c r="F44" s="95"/>
      <c r="G44" s="95"/>
      <c r="H44" s="95"/>
    </row>
    <row r="45" spans="1:10" ht="48.75" customHeight="1" x14ac:dyDescent="0.35">
      <c r="A45" s="191" t="s">
        <v>140</v>
      </c>
      <c r="B45" s="192"/>
      <c r="C45" s="195" t="s">
        <v>141</v>
      </c>
      <c r="D45" s="195"/>
      <c r="E45" s="195"/>
      <c r="F45" s="196" t="s">
        <v>142</v>
      </c>
      <c r="G45" s="192"/>
      <c r="H45" s="192"/>
    </row>
    <row r="46" spans="1:10" ht="33.65" customHeight="1" x14ac:dyDescent="0.35">
      <c r="A46" s="193"/>
      <c r="B46" s="194"/>
      <c r="C46" s="195"/>
      <c r="D46" s="195"/>
      <c r="E46" s="195"/>
      <c r="F46" s="197"/>
      <c r="G46" s="194"/>
      <c r="H46" s="194"/>
    </row>
    <row r="47" spans="1:10" x14ac:dyDescent="0.35">
      <c r="A47" s="97"/>
      <c r="B47" s="98"/>
      <c r="C47" s="99"/>
      <c r="D47" s="99"/>
      <c r="E47" s="99"/>
      <c r="F47" s="99"/>
      <c r="G47" s="99"/>
      <c r="H47" s="99"/>
    </row>
    <row r="48" spans="1:10" ht="54" customHeight="1" x14ac:dyDescent="0.35">
      <c r="A48" s="181" t="s">
        <v>143</v>
      </c>
      <c r="B48" s="182"/>
      <c r="C48" s="183"/>
      <c r="D48" s="96"/>
      <c r="E48" s="96"/>
      <c r="F48" s="187" t="s">
        <v>144</v>
      </c>
      <c r="G48" s="182"/>
      <c r="H48" s="182"/>
    </row>
    <row r="49" spans="1:8" ht="36" customHeight="1" thickBot="1" x14ac:dyDescent="0.4">
      <c r="A49" s="184"/>
      <c r="B49" s="185"/>
      <c r="C49" s="186"/>
      <c r="D49" s="100"/>
      <c r="E49" s="101"/>
      <c r="F49" s="188"/>
      <c r="G49" s="185"/>
      <c r="H49" s="185"/>
    </row>
    <row r="50" spans="1:8" ht="15" thickTop="1" x14ac:dyDescent="0.35">
      <c r="A50" s="4"/>
      <c r="B50" s="85"/>
      <c r="E50" s="86"/>
      <c r="F50" s="86"/>
      <c r="G50" s="86"/>
      <c r="H50" s="86"/>
    </row>
    <row r="51" spans="1:8" x14ac:dyDescent="0.35">
      <c r="A51" s="4"/>
      <c r="B51" s="85"/>
      <c r="E51" s="86"/>
      <c r="F51" s="86"/>
      <c r="G51" s="86"/>
      <c r="H51" s="86"/>
    </row>
    <row r="52" spans="1:8" x14ac:dyDescent="0.35">
      <c r="A52" s="4"/>
      <c r="B52" s="85"/>
      <c r="E52" s="86"/>
      <c r="F52" s="86"/>
      <c r="G52" s="86"/>
      <c r="H52" s="86"/>
    </row>
    <row r="53" spans="1:8" ht="15.65" customHeight="1" x14ac:dyDescent="0.35">
      <c r="A53" s="4"/>
      <c r="B53" s="85"/>
      <c r="C53" s="86"/>
      <c r="D53" s="86"/>
      <c r="E53" s="86"/>
      <c r="F53" s="86"/>
      <c r="G53" s="86"/>
      <c r="H53" s="86"/>
    </row>
    <row r="60" spans="1:8" s="1" customFormat="1" x14ac:dyDescent="0.35">
      <c r="A60" s="47"/>
      <c r="B60" s="87"/>
      <c r="C60" s="88"/>
      <c r="D60" s="88"/>
      <c r="E60" s="88"/>
      <c r="F60" s="88"/>
      <c r="G60" s="88"/>
      <c r="H60" s="88"/>
    </row>
  </sheetData>
  <mergeCells count="14">
    <mergeCell ref="A48:C49"/>
    <mergeCell ref="F48:H49"/>
    <mergeCell ref="A45:B46"/>
    <mergeCell ref="C45:E46"/>
    <mergeCell ref="F45:H46"/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topLeftCell="A37" zoomScale="120" zoomScaleNormal="120" workbookViewId="0">
      <selection activeCell="D51" sqref="D51"/>
    </sheetView>
  </sheetViews>
  <sheetFormatPr defaultColWidth="9.1796875" defaultRowHeight="14.5" x14ac:dyDescent="0.35"/>
  <cols>
    <col min="1" max="1" width="3.81640625" customWidth="1"/>
    <col min="2" max="2" width="25" customWidth="1"/>
    <col min="3" max="3" width="9.1796875" customWidth="1"/>
    <col min="4" max="4" width="10.1796875" customWidth="1"/>
    <col min="5" max="5" width="8.453125" customWidth="1"/>
    <col min="6" max="6" width="7.54296875" customWidth="1"/>
    <col min="7" max="7" width="11" customWidth="1"/>
    <col min="8" max="8" width="9.1796875" customWidth="1"/>
    <col min="9" max="9" width="10.81640625" style="1" customWidth="1"/>
    <col min="10" max="10" width="9.1796875" style="1" customWidth="1"/>
    <col min="11" max="11" width="12.1796875" customWidth="1"/>
    <col min="12" max="254" width="11.453125" customWidth="1"/>
    <col min="255" max="255" width="3.81640625" customWidth="1"/>
    <col min="256" max="256" width="37.81640625" customWidth="1"/>
    <col min="257" max="257" width="8.81640625" customWidth="1"/>
    <col min="258" max="258" width="12.54296875" customWidth="1"/>
    <col min="259" max="260" width="8.453125" customWidth="1"/>
    <col min="261" max="261" width="12.81640625" bestFit="1" customWidth="1"/>
    <col min="262" max="262" width="11.453125" customWidth="1"/>
    <col min="263" max="264" width="9.1796875" customWidth="1"/>
    <col min="265" max="265" width="20.81640625" customWidth="1"/>
    <col min="266" max="266" width="11.81640625" customWidth="1"/>
    <col min="267" max="510" width="11.453125" customWidth="1"/>
    <col min="511" max="511" width="3.81640625" customWidth="1"/>
    <col min="512" max="512" width="37.81640625" customWidth="1"/>
    <col min="513" max="513" width="8.81640625" customWidth="1"/>
    <col min="514" max="514" width="12.54296875" customWidth="1"/>
    <col min="515" max="516" width="8.453125" customWidth="1"/>
    <col min="517" max="517" width="12.81640625" bestFit="1" customWidth="1"/>
    <col min="518" max="518" width="11.453125" customWidth="1"/>
    <col min="519" max="520" width="9.1796875" customWidth="1"/>
    <col min="521" max="521" width="20.81640625" customWidth="1"/>
    <col min="522" max="522" width="11.81640625" customWidth="1"/>
    <col min="523" max="766" width="11.453125" customWidth="1"/>
    <col min="767" max="767" width="3.81640625" customWidth="1"/>
    <col min="768" max="768" width="37.81640625" customWidth="1"/>
    <col min="769" max="769" width="8.81640625" customWidth="1"/>
    <col min="770" max="770" width="12.54296875" customWidth="1"/>
    <col min="771" max="772" width="8.453125" customWidth="1"/>
    <col min="773" max="773" width="12.81640625" bestFit="1" customWidth="1"/>
    <col min="774" max="774" width="11.453125" customWidth="1"/>
    <col min="775" max="776" width="9.1796875" customWidth="1"/>
    <col min="777" max="777" width="20.81640625" customWidth="1"/>
    <col min="778" max="778" width="11.81640625" customWidth="1"/>
    <col min="779" max="1022" width="11.453125" customWidth="1"/>
    <col min="1023" max="1023" width="3.81640625" customWidth="1"/>
    <col min="1024" max="1024" width="37.81640625" customWidth="1"/>
    <col min="1025" max="1025" width="8.81640625" customWidth="1"/>
    <col min="1026" max="1026" width="12.54296875" customWidth="1"/>
    <col min="1027" max="1028" width="8.453125" customWidth="1"/>
    <col min="1029" max="1029" width="12.81640625" bestFit="1" customWidth="1"/>
    <col min="1030" max="1030" width="11.453125" customWidth="1"/>
    <col min="1031" max="1032" width="9.1796875" customWidth="1"/>
    <col min="1033" max="1033" width="20.81640625" customWidth="1"/>
    <col min="1034" max="1034" width="11.81640625" customWidth="1"/>
    <col min="1035" max="1278" width="11.453125" customWidth="1"/>
    <col min="1279" max="1279" width="3.81640625" customWidth="1"/>
    <col min="1280" max="1280" width="37.81640625" customWidth="1"/>
    <col min="1281" max="1281" width="8.81640625" customWidth="1"/>
    <col min="1282" max="1282" width="12.54296875" customWidth="1"/>
    <col min="1283" max="1284" width="8.453125" customWidth="1"/>
    <col min="1285" max="1285" width="12.81640625" bestFit="1" customWidth="1"/>
    <col min="1286" max="1286" width="11.453125" customWidth="1"/>
    <col min="1287" max="1288" width="9.1796875" customWidth="1"/>
    <col min="1289" max="1289" width="20.81640625" customWidth="1"/>
    <col min="1290" max="1290" width="11.81640625" customWidth="1"/>
    <col min="1291" max="1534" width="11.453125" customWidth="1"/>
    <col min="1535" max="1535" width="3.81640625" customWidth="1"/>
    <col min="1536" max="1536" width="37.81640625" customWidth="1"/>
    <col min="1537" max="1537" width="8.81640625" customWidth="1"/>
    <col min="1538" max="1538" width="12.54296875" customWidth="1"/>
    <col min="1539" max="1540" width="8.453125" customWidth="1"/>
    <col min="1541" max="1541" width="12.81640625" bestFit="1" customWidth="1"/>
    <col min="1542" max="1542" width="11.453125" customWidth="1"/>
    <col min="1543" max="1544" width="9.1796875" customWidth="1"/>
    <col min="1545" max="1545" width="20.81640625" customWidth="1"/>
    <col min="1546" max="1546" width="11.81640625" customWidth="1"/>
    <col min="1547" max="1790" width="11.453125" customWidth="1"/>
    <col min="1791" max="1791" width="3.81640625" customWidth="1"/>
    <col min="1792" max="1792" width="37.81640625" customWidth="1"/>
    <col min="1793" max="1793" width="8.81640625" customWidth="1"/>
    <col min="1794" max="1794" width="12.54296875" customWidth="1"/>
    <col min="1795" max="1796" width="8.453125" customWidth="1"/>
    <col min="1797" max="1797" width="12.81640625" bestFit="1" customWidth="1"/>
    <col min="1798" max="1798" width="11.453125" customWidth="1"/>
    <col min="1799" max="1800" width="9.1796875" customWidth="1"/>
    <col min="1801" max="1801" width="20.81640625" customWidth="1"/>
    <col min="1802" max="1802" width="11.81640625" customWidth="1"/>
    <col min="1803" max="2046" width="11.453125" customWidth="1"/>
    <col min="2047" max="2047" width="3.81640625" customWidth="1"/>
    <col min="2048" max="2048" width="37.81640625" customWidth="1"/>
    <col min="2049" max="2049" width="8.81640625" customWidth="1"/>
    <col min="2050" max="2050" width="12.54296875" customWidth="1"/>
    <col min="2051" max="2052" width="8.453125" customWidth="1"/>
    <col min="2053" max="2053" width="12.81640625" bestFit="1" customWidth="1"/>
    <col min="2054" max="2054" width="11.453125" customWidth="1"/>
    <col min="2055" max="2056" width="9.1796875" customWidth="1"/>
    <col min="2057" max="2057" width="20.81640625" customWidth="1"/>
    <col min="2058" max="2058" width="11.81640625" customWidth="1"/>
    <col min="2059" max="2302" width="11.453125" customWidth="1"/>
    <col min="2303" max="2303" width="3.81640625" customWidth="1"/>
    <col min="2304" max="2304" width="37.81640625" customWidth="1"/>
    <col min="2305" max="2305" width="8.81640625" customWidth="1"/>
    <col min="2306" max="2306" width="12.54296875" customWidth="1"/>
    <col min="2307" max="2308" width="8.453125" customWidth="1"/>
    <col min="2309" max="2309" width="12.81640625" bestFit="1" customWidth="1"/>
    <col min="2310" max="2310" width="11.453125" customWidth="1"/>
    <col min="2311" max="2312" width="9.1796875" customWidth="1"/>
    <col min="2313" max="2313" width="20.81640625" customWidth="1"/>
    <col min="2314" max="2314" width="11.81640625" customWidth="1"/>
    <col min="2315" max="2558" width="11.453125" customWidth="1"/>
    <col min="2559" max="2559" width="3.81640625" customWidth="1"/>
    <col min="2560" max="2560" width="37.81640625" customWidth="1"/>
    <col min="2561" max="2561" width="8.81640625" customWidth="1"/>
    <col min="2562" max="2562" width="12.54296875" customWidth="1"/>
    <col min="2563" max="2564" width="8.453125" customWidth="1"/>
    <col min="2565" max="2565" width="12.81640625" bestFit="1" customWidth="1"/>
    <col min="2566" max="2566" width="11.453125" customWidth="1"/>
    <col min="2567" max="2568" width="9.1796875" customWidth="1"/>
    <col min="2569" max="2569" width="20.81640625" customWidth="1"/>
    <col min="2570" max="2570" width="11.81640625" customWidth="1"/>
    <col min="2571" max="2814" width="11.453125" customWidth="1"/>
    <col min="2815" max="2815" width="3.81640625" customWidth="1"/>
    <col min="2816" max="2816" width="37.81640625" customWidth="1"/>
    <col min="2817" max="2817" width="8.81640625" customWidth="1"/>
    <col min="2818" max="2818" width="12.54296875" customWidth="1"/>
    <col min="2819" max="2820" width="8.453125" customWidth="1"/>
    <col min="2821" max="2821" width="12.81640625" bestFit="1" customWidth="1"/>
    <col min="2822" max="2822" width="11.453125" customWidth="1"/>
    <col min="2823" max="2824" width="9.1796875" customWidth="1"/>
    <col min="2825" max="2825" width="20.81640625" customWidth="1"/>
    <col min="2826" max="2826" width="11.81640625" customWidth="1"/>
    <col min="2827" max="3070" width="11.453125" customWidth="1"/>
    <col min="3071" max="3071" width="3.81640625" customWidth="1"/>
    <col min="3072" max="3072" width="37.81640625" customWidth="1"/>
    <col min="3073" max="3073" width="8.81640625" customWidth="1"/>
    <col min="3074" max="3074" width="12.54296875" customWidth="1"/>
    <col min="3075" max="3076" width="8.453125" customWidth="1"/>
    <col min="3077" max="3077" width="12.81640625" bestFit="1" customWidth="1"/>
    <col min="3078" max="3078" width="11.453125" customWidth="1"/>
    <col min="3079" max="3080" width="9.1796875" customWidth="1"/>
    <col min="3081" max="3081" width="20.81640625" customWidth="1"/>
    <col min="3082" max="3082" width="11.81640625" customWidth="1"/>
    <col min="3083" max="3326" width="11.453125" customWidth="1"/>
    <col min="3327" max="3327" width="3.81640625" customWidth="1"/>
    <col min="3328" max="3328" width="37.81640625" customWidth="1"/>
    <col min="3329" max="3329" width="8.81640625" customWidth="1"/>
    <col min="3330" max="3330" width="12.54296875" customWidth="1"/>
    <col min="3331" max="3332" width="8.453125" customWidth="1"/>
    <col min="3333" max="3333" width="12.81640625" bestFit="1" customWidth="1"/>
    <col min="3334" max="3334" width="11.453125" customWidth="1"/>
    <col min="3335" max="3336" width="9.1796875" customWidth="1"/>
    <col min="3337" max="3337" width="20.81640625" customWidth="1"/>
    <col min="3338" max="3338" width="11.81640625" customWidth="1"/>
    <col min="3339" max="3582" width="11.453125" customWidth="1"/>
    <col min="3583" max="3583" width="3.81640625" customWidth="1"/>
    <col min="3584" max="3584" width="37.81640625" customWidth="1"/>
    <col min="3585" max="3585" width="8.81640625" customWidth="1"/>
    <col min="3586" max="3586" width="12.54296875" customWidth="1"/>
    <col min="3587" max="3588" width="8.453125" customWidth="1"/>
    <col min="3589" max="3589" width="12.81640625" bestFit="1" customWidth="1"/>
    <col min="3590" max="3590" width="11.453125" customWidth="1"/>
    <col min="3591" max="3592" width="9.1796875" customWidth="1"/>
    <col min="3593" max="3593" width="20.81640625" customWidth="1"/>
    <col min="3594" max="3594" width="11.81640625" customWidth="1"/>
    <col min="3595" max="3838" width="11.453125" customWidth="1"/>
    <col min="3839" max="3839" width="3.81640625" customWidth="1"/>
    <col min="3840" max="3840" width="37.81640625" customWidth="1"/>
    <col min="3841" max="3841" width="8.81640625" customWidth="1"/>
    <col min="3842" max="3842" width="12.54296875" customWidth="1"/>
    <col min="3843" max="3844" width="8.453125" customWidth="1"/>
    <col min="3845" max="3845" width="12.81640625" bestFit="1" customWidth="1"/>
    <col min="3846" max="3846" width="11.453125" customWidth="1"/>
    <col min="3847" max="3848" width="9.1796875" customWidth="1"/>
    <col min="3849" max="3849" width="20.81640625" customWidth="1"/>
    <col min="3850" max="3850" width="11.81640625" customWidth="1"/>
    <col min="3851" max="4094" width="11.453125" customWidth="1"/>
    <col min="4095" max="4095" width="3.81640625" customWidth="1"/>
    <col min="4096" max="4096" width="37.81640625" customWidth="1"/>
    <col min="4097" max="4097" width="8.81640625" customWidth="1"/>
    <col min="4098" max="4098" width="12.54296875" customWidth="1"/>
    <col min="4099" max="4100" width="8.453125" customWidth="1"/>
    <col min="4101" max="4101" width="12.81640625" bestFit="1" customWidth="1"/>
    <col min="4102" max="4102" width="11.453125" customWidth="1"/>
    <col min="4103" max="4104" width="9.1796875" customWidth="1"/>
    <col min="4105" max="4105" width="20.81640625" customWidth="1"/>
    <col min="4106" max="4106" width="11.81640625" customWidth="1"/>
    <col min="4107" max="4350" width="11.453125" customWidth="1"/>
    <col min="4351" max="4351" width="3.81640625" customWidth="1"/>
    <col min="4352" max="4352" width="37.81640625" customWidth="1"/>
    <col min="4353" max="4353" width="8.81640625" customWidth="1"/>
    <col min="4354" max="4354" width="12.54296875" customWidth="1"/>
    <col min="4355" max="4356" width="8.453125" customWidth="1"/>
    <col min="4357" max="4357" width="12.81640625" bestFit="1" customWidth="1"/>
    <col min="4358" max="4358" width="11.453125" customWidth="1"/>
    <col min="4359" max="4360" width="9.1796875" customWidth="1"/>
    <col min="4361" max="4361" width="20.81640625" customWidth="1"/>
    <col min="4362" max="4362" width="11.81640625" customWidth="1"/>
    <col min="4363" max="4606" width="11.453125" customWidth="1"/>
    <col min="4607" max="4607" width="3.81640625" customWidth="1"/>
    <col min="4608" max="4608" width="37.81640625" customWidth="1"/>
    <col min="4609" max="4609" width="8.81640625" customWidth="1"/>
    <col min="4610" max="4610" width="12.54296875" customWidth="1"/>
    <col min="4611" max="4612" width="8.453125" customWidth="1"/>
    <col min="4613" max="4613" width="12.81640625" bestFit="1" customWidth="1"/>
    <col min="4614" max="4614" width="11.453125" customWidth="1"/>
    <col min="4615" max="4616" width="9.1796875" customWidth="1"/>
    <col min="4617" max="4617" width="20.81640625" customWidth="1"/>
    <col min="4618" max="4618" width="11.81640625" customWidth="1"/>
    <col min="4619" max="4862" width="11.453125" customWidth="1"/>
    <col min="4863" max="4863" width="3.81640625" customWidth="1"/>
    <col min="4864" max="4864" width="37.81640625" customWidth="1"/>
    <col min="4865" max="4865" width="8.81640625" customWidth="1"/>
    <col min="4866" max="4866" width="12.54296875" customWidth="1"/>
    <col min="4867" max="4868" width="8.453125" customWidth="1"/>
    <col min="4869" max="4869" width="12.81640625" bestFit="1" customWidth="1"/>
    <col min="4870" max="4870" width="11.453125" customWidth="1"/>
    <col min="4871" max="4872" width="9.1796875" customWidth="1"/>
    <col min="4873" max="4873" width="20.81640625" customWidth="1"/>
    <col min="4874" max="4874" width="11.81640625" customWidth="1"/>
    <col min="4875" max="5118" width="11.453125" customWidth="1"/>
    <col min="5119" max="5119" width="3.81640625" customWidth="1"/>
    <col min="5120" max="5120" width="37.81640625" customWidth="1"/>
    <col min="5121" max="5121" width="8.81640625" customWidth="1"/>
    <col min="5122" max="5122" width="12.54296875" customWidth="1"/>
    <col min="5123" max="5124" width="8.453125" customWidth="1"/>
    <col min="5125" max="5125" width="12.81640625" bestFit="1" customWidth="1"/>
    <col min="5126" max="5126" width="11.453125" customWidth="1"/>
    <col min="5127" max="5128" width="9.1796875" customWidth="1"/>
    <col min="5129" max="5129" width="20.81640625" customWidth="1"/>
    <col min="5130" max="5130" width="11.81640625" customWidth="1"/>
    <col min="5131" max="5374" width="11.453125" customWidth="1"/>
    <col min="5375" max="5375" width="3.81640625" customWidth="1"/>
    <col min="5376" max="5376" width="37.81640625" customWidth="1"/>
    <col min="5377" max="5377" width="8.81640625" customWidth="1"/>
    <col min="5378" max="5378" width="12.54296875" customWidth="1"/>
    <col min="5379" max="5380" width="8.453125" customWidth="1"/>
    <col min="5381" max="5381" width="12.81640625" bestFit="1" customWidth="1"/>
    <col min="5382" max="5382" width="11.453125" customWidth="1"/>
    <col min="5383" max="5384" width="9.1796875" customWidth="1"/>
    <col min="5385" max="5385" width="20.81640625" customWidth="1"/>
    <col min="5386" max="5386" width="11.81640625" customWidth="1"/>
    <col min="5387" max="5630" width="11.453125" customWidth="1"/>
    <col min="5631" max="5631" width="3.81640625" customWidth="1"/>
    <col min="5632" max="5632" width="37.81640625" customWidth="1"/>
    <col min="5633" max="5633" width="8.81640625" customWidth="1"/>
    <col min="5634" max="5634" width="12.54296875" customWidth="1"/>
    <col min="5635" max="5636" width="8.453125" customWidth="1"/>
    <col min="5637" max="5637" width="12.81640625" bestFit="1" customWidth="1"/>
    <col min="5638" max="5638" width="11.453125" customWidth="1"/>
    <col min="5639" max="5640" width="9.1796875" customWidth="1"/>
    <col min="5641" max="5641" width="20.81640625" customWidth="1"/>
    <col min="5642" max="5642" width="11.81640625" customWidth="1"/>
    <col min="5643" max="5886" width="11.453125" customWidth="1"/>
    <col min="5887" max="5887" width="3.81640625" customWidth="1"/>
    <col min="5888" max="5888" width="37.81640625" customWidth="1"/>
    <col min="5889" max="5889" width="8.81640625" customWidth="1"/>
    <col min="5890" max="5890" width="12.54296875" customWidth="1"/>
    <col min="5891" max="5892" width="8.453125" customWidth="1"/>
    <col min="5893" max="5893" width="12.81640625" bestFit="1" customWidth="1"/>
    <col min="5894" max="5894" width="11.453125" customWidth="1"/>
    <col min="5895" max="5896" width="9.1796875" customWidth="1"/>
    <col min="5897" max="5897" width="20.81640625" customWidth="1"/>
    <col min="5898" max="5898" width="11.81640625" customWidth="1"/>
    <col min="5899" max="6142" width="11.453125" customWidth="1"/>
    <col min="6143" max="6143" width="3.81640625" customWidth="1"/>
    <col min="6144" max="6144" width="37.81640625" customWidth="1"/>
    <col min="6145" max="6145" width="8.81640625" customWidth="1"/>
    <col min="6146" max="6146" width="12.54296875" customWidth="1"/>
    <col min="6147" max="6148" width="8.453125" customWidth="1"/>
    <col min="6149" max="6149" width="12.81640625" bestFit="1" customWidth="1"/>
    <col min="6150" max="6150" width="11.453125" customWidth="1"/>
    <col min="6151" max="6152" width="9.1796875" customWidth="1"/>
    <col min="6153" max="6153" width="20.81640625" customWidth="1"/>
    <col min="6154" max="6154" width="11.81640625" customWidth="1"/>
    <col min="6155" max="6398" width="11.453125" customWidth="1"/>
    <col min="6399" max="6399" width="3.81640625" customWidth="1"/>
    <col min="6400" max="6400" width="37.81640625" customWidth="1"/>
    <col min="6401" max="6401" width="8.81640625" customWidth="1"/>
    <col min="6402" max="6402" width="12.54296875" customWidth="1"/>
    <col min="6403" max="6404" width="8.453125" customWidth="1"/>
    <col min="6405" max="6405" width="12.81640625" bestFit="1" customWidth="1"/>
    <col min="6406" max="6406" width="11.453125" customWidth="1"/>
    <col min="6407" max="6408" width="9.1796875" customWidth="1"/>
    <col min="6409" max="6409" width="20.81640625" customWidth="1"/>
    <col min="6410" max="6410" width="11.81640625" customWidth="1"/>
    <col min="6411" max="6654" width="11.453125" customWidth="1"/>
    <col min="6655" max="6655" width="3.81640625" customWidth="1"/>
    <col min="6656" max="6656" width="37.81640625" customWidth="1"/>
    <col min="6657" max="6657" width="8.81640625" customWidth="1"/>
    <col min="6658" max="6658" width="12.54296875" customWidth="1"/>
    <col min="6659" max="6660" width="8.453125" customWidth="1"/>
    <col min="6661" max="6661" width="12.81640625" bestFit="1" customWidth="1"/>
    <col min="6662" max="6662" width="11.453125" customWidth="1"/>
    <col min="6663" max="6664" width="9.1796875" customWidth="1"/>
    <col min="6665" max="6665" width="20.81640625" customWidth="1"/>
    <col min="6666" max="6666" width="11.81640625" customWidth="1"/>
    <col min="6667" max="6910" width="11.453125" customWidth="1"/>
    <col min="6911" max="6911" width="3.81640625" customWidth="1"/>
    <col min="6912" max="6912" width="37.81640625" customWidth="1"/>
    <col min="6913" max="6913" width="8.81640625" customWidth="1"/>
    <col min="6914" max="6914" width="12.54296875" customWidth="1"/>
    <col min="6915" max="6916" width="8.453125" customWidth="1"/>
    <col min="6917" max="6917" width="12.81640625" bestFit="1" customWidth="1"/>
    <col min="6918" max="6918" width="11.453125" customWidth="1"/>
    <col min="6919" max="6920" width="9.1796875" customWidth="1"/>
    <col min="6921" max="6921" width="20.81640625" customWidth="1"/>
    <col min="6922" max="6922" width="11.81640625" customWidth="1"/>
    <col min="6923" max="7166" width="11.453125" customWidth="1"/>
    <col min="7167" max="7167" width="3.81640625" customWidth="1"/>
    <col min="7168" max="7168" width="37.81640625" customWidth="1"/>
    <col min="7169" max="7169" width="8.81640625" customWidth="1"/>
    <col min="7170" max="7170" width="12.54296875" customWidth="1"/>
    <col min="7171" max="7172" width="8.453125" customWidth="1"/>
    <col min="7173" max="7173" width="12.81640625" bestFit="1" customWidth="1"/>
    <col min="7174" max="7174" width="11.453125" customWidth="1"/>
    <col min="7175" max="7176" width="9.1796875" customWidth="1"/>
    <col min="7177" max="7177" width="20.81640625" customWidth="1"/>
    <col min="7178" max="7178" width="11.81640625" customWidth="1"/>
    <col min="7179" max="7422" width="11.453125" customWidth="1"/>
    <col min="7423" max="7423" width="3.81640625" customWidth="1"/>
    <col min="7424" max="7424" width="37.81640625" customWidth="1"/>
    <col min="7425" max="7425" width="8.81640625" customWidth="1"/>
    <col min="7426" max="7426" width="12.54296875" customWidth="1"/>
    <col min="7427" max="7428" width="8.453125" customWidth="1"/>
    <col min="7429" max="7429" width="12.81640625" bestFit="1" customWidth="1"/>
    <col min="7430" max="7430" width="11.453125" customWidth="1"/>
    <col min="7431" max="7432" width="9.1796875" customWidth="1"/>
    <col min="7433" max="7433" width="20.81640625" customWidth="1"/>
    <col min="7434" max="7434" width="11.81640625" customWidth="1"/>
    <col min="7435" max="7678" width="11.453125" customWidth="1"/>
    <col min="7679" max="7679" width="3.81640625" customWidth="1"/>
    <col min="7680" max="7680" width="37.81640625" customWidth="1"/>
    <col min="7681" max="7681" width="8.81640625" customWidth="1"/>
    <col min="7682" max="7682" width="12.54296875" customWidth="1"/>
    <col min="7683" max="7684" width="8.453125" customWidth="1"/>
    <col min="7685" max="7685" width="12.81640625" bestFit="1" customWidth="1"/>
    <col min="7686" max="7686" width="11.453125" customWidth="1"/>
    <col min="7687" max="7688" width="9.1796875" customWidth="1"/>
    <col min="7689" max="7689" width="20.81640625" customWidth="1"/>
    <col min="7690" max="7690" width="11.81640625" customWidth="1"/>
    <col min="7691" max="7934" width="11.453125" customWidth="1"/>
    <col min="7935" max="7935" width="3.81640625" customWidth="1"/>
    <col min="7936" max="7936" width="37.81640625" customWidth="1"/>
    <col min="7937" max="7937" width="8.81640625" customWidth="1"/>
    <col min="7938" max="7938" width="12.54296875" customWidth="1"/>
    <col min="7939" max="7940" width="8.453125" customWidth="1"/>
    <col min="7941" max="7941" width="12.81640625" bestFit="1" customWidth="1"/>
    <col min="7942" max="7942" width="11.453125" customWidth="1"/>
    <col min="7943" max="7944" width="9.1796875" customWidth="1"/>
    <col min="7945" max="7945" width="20.81640625" customWidth="1"/>
    <col min="7946" max="7946" width="11.81640625" customWidth="1"/>
    <col min="7947" max="8190" width="11.453125" customWidth="1"/>
    <col min="8191" max="8191" width="3.81640625" customWidth="1"/>
    <col min="8192" max="8192" width="37.81640625" customWidth="1"/>
    <col min="8193" max="8193" width="8.81640625" customWidth="1"/>
    <col min="8194" max="8194" width="12.54296875" customWidth="1"/>
    <col min="8195" max="8196" width="8.453125" customWidth="1"/>
    <col min="8197" max="8197" width="12.81640625" bestFit="1" customWidth="1"/>
    <col min="8198" max="8198" width="11.453125" customWidth="1"/>
    <col min="8199" max="8200" width="9.1796875" customWidth="1"/>
    <col min="8201" max="8201" width="20.81640625" customWidth="1"/>
    <col min="8202" max="8202" width="11.81640625" customWidth="1"/>
    <col min="8203" max="8446" width="11.453125" customWidth="1"/>
    <col min="8447" max="8447" width="3.81640625" customWidth="1"/>
    <col min="8448" max="8448" width="37.81640625" customWidth="1"/>
    <col min="8449" max="8449" width="8.81640625" customWidth="1"/>
    <col min="8450" max="8450" width="12.54296875" customWidth="1"/>
    <col min="8451" max="8452" width="8.453125" customWidth="1"/>
    <col min="8453" max="8453" width="12.81640625" bestFit="1" customWidth="1"/>
    <col min="8454" max="8454" width="11.453125" customWidth="1"/>
    <col min="8455" max="8456" width="9.1796875" customWidth="1"/>
    <col min="8457" max="8457" width="20.81640625" customWidth="1"/>
    <col min="8458" max="8458" width="11.81640625" customWidth="1"/>
    <col min="8459" max="8702" width="11.453125" customWidth="1"/>
    <col min="8703" max="8703" width="3.81640625" customWidth="1"/>
    <col min="8704" max="8704" width="37.81640625" customWidth="1"/>
    <col min="8705" max="8705" width="8.81640625" customWidth="1"/>
    <col min="8706" max="8706" width="12.54296875" customWidth="1"/>
    <col min="8707" max="8708" width="8.453125" customWidth="1"/>
    <col min="8709" max="8709" width="12.81640625" bestFit="1" customWidth="1"/>
    <col min="8710" max="8710" width="11.453125" customWidth="1"/>
    <col min="8711" max="8712" width="9.1796875" customWidth="1"/>
    <col min="8713" max="8713" width="20.81640625" customWidth="1"/>
    <col min="8714" max="8714" width="11.81640625" customWidth="1"/>
    <col min="8715" max="8958" width="11.453125" customWidth="1"/>
    <col min="8959" max="8959" width="3.81640625" customWidth="1"/>
    <col min="8960" max="8960" width="37.81640625" customWidth="1"/>
    <col min="8961" max="8961" width="8.81640625" customWidth="1"/>
    <col min="8962" max="8962" width="12.54296875" customWidth="1"/>
    <col min="8963" max="8964" width="8.453125" customWidth="1"/>
    <col min="8965" max="8965" width="12.81640625" bestFit="1" customWidth="1"/>
    <col min="8966" max="8966" width="11.453125" customWidth="1"/>
    <col min="8967" max="8968" width="9.1796875" customWidth="1"/>
    <col min="8969" max="8969" width="20.81640625" customWidth="1"/>
    <col min="8970" max="8970" width="11.81640625" customWidth="1"/>
    <col min="8971" max="9214" width="11.453125" customWidth="1"/>
    <col min="9215" max="9215" width="3.81640625" customWidth="1"/>
    <col min="9216" max="9216" width="37.81640625" customWidth="1"/>
    <col min="9217" max="9217" width="8.81640625" customWidth="1"/>
    <col min="9218" max="9218" width="12.54296875" customWidth="1"/>
    <col min="9219" max="9220" width="8.453125" customWidth="1"/>
    <col min="9221" max="9221" width="12.81640625" bestFit="1" customWidth="1"/>
    <col min="9222" max="9222" width="11.453125" customWidth="1"/>
    <col min="9223" max="9224" width="9.1796875" customWidth="1"/>
    <col min="9225" max="9225" width="20.81640625" customWidth="1"/>
    <col min="9226" max="9226" width="11.81640625" customWidth="1"/>
    <col min="9227" max="9470" width="11.453125" customWidth="1"/>
    <col min="9471" max="9471" width="3.81640625" customWidth="1"/>
    <col min="9472" max="9472" width="37.81640625" customWidth="1"/>
    <col min="9473" max="9473" width="8.81640625" customWidth="1"/>
    <col min="9474" max="9474" width="12.54296875" customWidth="1"/>
    <col min="9475" max="9476" width="8.453125" customWidth="1"/>
    <col min="9477" max="9477" width="12.81640625" bestFit="1" customWidth="1"/>
    <col min="9478" max="9478" width="11.453125" customWidth="1"/>
    <col min="9479" max="9480" width="9.1796875" customWidth="1"/>
    <col min="9481" max="9481" width="20.81640625" customWidth="1"/>
    <col min="9482" max="9482" width="11.81640625" customWidth="1"/>
    <col min="9483" max="9726" width="11.453125" customWidth="1"/>
    <col min="9727" max="9727" width="3.81640625" customWidth="1"/>
    <col min="9728" max="9728" width="37.81640625" customWidth="1"/>
    <col min="9729" max="9729" width="8.81640625" customWidth="1"/>
    <col min="9730" max="9730" width="12.54296875" customWidth="1"/>
    <col min="9731" max="9732" width="8.453125" customWidth="1"/>
    <col min="9733" max="9733" width="12.81640625" bestFit="1" customWidth="1"/>
    <col min="9734" max="9734" width="11.453125" customWidth="1"/>
    <col min="9735" max="9736" width="9.1796875" customWidth="1"/>
    <col min="9737" max="9737" width="20.81640625" customWidth="1"/>
    <col min="9738" max="9738" width="11.81640625" customWidth="1"/>
    <col min="9739" max="9982" width="11.453125" customWidth="1"/>
    <col min="9983" max="9983" width="3.81640625" customWidth="1"/>
    <col min="9984" max="9984" width="37.81640625" customWidth="1"/>
    <col min="9985" max="9985" width="8.81640625" customWidth="1"/>
    <col min="9986" max="9986" width="12.54296875" customWidth="1"/>
    <col min="9987" max="9988" width="8.453125" customWidth="1"/>
    <col min="9989" max="9989" width="12.81640625" bestFit="1" customWidth="1"/>
    <col min="9990" max="9990" width="11.453125" customWidth="1"/>
    <col min="9991" max="9992" width="9.1796875" customWidth="1"/>
    <col min="9993" max="9993" width="20.81640625" customWidth="1"/>
    <col min="9994" max="9994" width="11.81640625" customWidth="1"/>
    <col min="9995" max="10238" width="11.453125" customWidth="1"/>
    <col min="10239" max="10239" width="3.81640625" customWidth="1"/>
    <col min="10240" max="10240" width="37.81640625" customWidth="1"/>
    <col min="10241" max="10241" width="8.81640625" customWidth="1"/>
    <col min="10242" max="10242" width="12.54296875" customWidth="1"/>
    <col min="10243" max="10244" width="8.453125" customWidth="1"/>
    <col min="10245" max="10245" width="12.81640625" bestFit="1" customWidth="1"/>
    <col min="10246" max="10246" width="11.453125" customWidth="1"/>
    <col min="10247" max="10248" width="9.1796875" customWidth="1"/>
    <col min="10249" max="10249" width="20.81640625" customWidth="1"/>
    <col min="10250" max="10250" width="11.81640625" customWidth="1"/>
    <col min="10251" max="10494" width="11.453125" customWidth="1"/>
    <col min="10495" max="10495" width="3.81640625" customWidth="1"/>
    <col min="10496" max="10496" width="37.81640625" customWidth="1"/>
    <col min="10497" max="10497" width="8.81640625" customWidth="1"/>
    <col min="10498" max="10498" width="12.54296875" customWidth="1"/>
    <col min="10499" max="10500" width="8.453125" customWidth="1"/>
    <col min="10501" max="10501" width="12.81640625" bestFit="1" customWidth="1"/>
    <col min="10502" max="10502" width="11.453125" customWidth="1"/>
    <col min="10503" max="10504" width="9.1796875" customWidth="1"/>
    <col min="10505" max="10505" width="20.81640625" customWidth="1"/>
    <col min="10506" max="10506" width="11.81640625" customWidth="1"/>
    <col min="10507" max="10750" width="11.453125" customWidth="1"/>
    <col min="10751" max="10751" width="3.81640625" customWidth="1"/>
    <col min="10752" max="10752" width="37.81640625" customWidth="1"/>
    <col min="10753" max="10753" width="8.81640625" customWidth="1"/>
    <col min="10754" max="10754" width="12.54296875" customWidth="1"/>
    <col min="10755" max="10756" width="8.453125" customWidth="1"/>
    <col min="10757" max="10757" width="12.81640625" bestFit="1" customWidth="1"/>
    <col min="10758" max="10758" width="11.453125" customWidth="1"/>
    <col min="10759" max="10760" width="9.1796875" customWidth="1"/>
    <col min="10761" max="10761" width="20.81640625" customWidth="1"/>
    <col min="10762" max="10762" width="11.81640625" customWidth="1"/>
    <col min="10763" max="11006" width="11.453125" customWidth="1"/>
    <col min="11007" max="11007" width="3.81640625" customWidth="1"/>
    <col min="11008" max="11008" width="37.81640625" customWidth="1"/>
    <col min="11009" max="11009" width="8.81640625" customWidth="1"/>
    <col min="11010" max="11010" width="12.54296875" customWidth="1"/>
    <col min="11011" max="11012" width="8.453125" customWidth="1"/>
    <col min="11013" max="11013" width="12.81640625" bestFit="1" customWidth="1"/>
    <col min="11014" max="11014" width="11.453125" customWidth="1"/>
    <col min="11015" max="11016" width="9.1796875" customWidth="1"/>
    <col min="11017" max="11017" width="20.81640625" customWidth="1"/>
    <col min="11018" max="11018" width="11.81640625" customWidth="1"/>
    <col min="11019" max="11262" width="11.453125" customWidth="1"/>
    <col min="11263" max="11263" width="3.81640625" customWidth="1"/>
    <col min="11264" max="11264" width="37.81640625" customWidth="1"/>
    <col min="11265" max="11265" width="8.81640625" customWidth="1"/>
    <col min="11266" max="11266" width="12.54296875" customWidth="1"/>
    <col min="11267" max="11268" width="8.453125" customWidth="1"/>
    <col min="11269" max="11269" width="12.81640625" bestFit="1" customWidth="1"/>
    <col min="11270" max="11270" width="11.453125" customWidth="1"/>
    <col min="11271" max="11272" width="9.1796875" customWidth="1"/>
    <col min="11273" max="11273" width="20.81640625" customWidth="1"/>
    <col min="11274" max="11274" width="11.81640625" customWidth="1"/>
    <col min="11275" max="11518" width="11.453125" customWidth="1"/>
    <col min="11519" max="11519" width="3.81640625" customWidth="1"/>
    <col min="11520" max="11520" width="37.81640625" customWidth="1"/>
    <col min="11521" max="11521" width="8.81640625" customWidth="1"/>
    <col min="11522" max="11522" width="12.54296875" customWidth="1"/>
    <col min="11523" max="11524" width="8.453125" customWidth="1"/>
    <col min="11525" max="11525" width="12.81640625" bestFit="1" customWidth="1"/>
    <col min="11526" max="11526" width="11.453125" customWidth="1"/>
    <col min="11527" max="11528" width="9.1796875" customWidth="1"/>
    <col min="11529" max="11529" width="20.81640625" customWidth="1"/>
    <col min="11530" max="11530" width="11.81640625" customWidth="1"/>
    <col min="11531" max="11774" width="11.453125" customWidth="1"/>
    <col min="11775" max="11775" width="3.81640625" customWidth="1"/>
    <col min="11776" max="11776" width="37.81640625" customWidth="1"/>
    <col min="11777" max="11777" width="8.81640625" customWidth="1"/>
    <col min="11778" max="11778" width="12.54296875" customWidth="1"/>
    <col min="11779" max="11780" width="8.453125" customWidth="1"/>
    <col min="11781" max="11781" width="12.81640625" bestFit="1" customWidth="1"/>
    <col min="11782" max="11782" width="11.453125" customWidth="1"/>
    <col min="11783" max="11784" width="9.1796875" customWidth="1"/>
    <col min="11785" max="11785" width="20.81640625" customWidth="1"/>
    <col min="11786" max="11786" width="11.81640625" customWidth="1"/>
    <col min="11787" max="12030" width="11.453125" customWidth="1"/>
    <col min="12031" max="12031" width="3.81640625" customWidth="1"/>
    <col min="12032" max="12032" width="37.81640625" customWidth="1"/>
    <col min="12033" max="12033" width="8.81640625" customWidth="1"/>
    <col min="12034" max="12034" width="12.54296875" customWidth="1"/>
    <col min="12035" max="12036" width="8.453125" customWidth="1"/>
    <col min="12037" max="12037" width="12.81640625" bestFit="1" customWidth="1"/>
    <col min="12038" max="12038" width="11.453125" customWidth="1"/>
    <col min="12039" max="12040" width="9.1796875" customWidth="1"/>
    <col min="12041" max="12041" width="20.81640625" customWidth="1"/>
    <col min="12042" max="12042" width="11.81640625" customWidth="1"/>
    <col min="12043" max="12286" width="11.453125" customWidth="1"/>
    <col min="12287" max="12287" width="3.81640625" customWidth="1"/>
    <col min="12288" max="12288" width="37.81640625" customWidth="1"/>
    <col min="12289" max="12289" width="8.81640625" customWidth="1"/>
    <col min="12290" max="12290" width="12.54296875" customWidth="1"/>
    <col min="12291" max="12292" width="8.453125" customWidth="1"/>
    <col min="12293" max="12293" width="12.81640625" bestFit="1" customWidth="1"/>
    <col min="12294" max="12294" width="11.453125" customWidth="1"/>
    <col min="12295" max="12296" width="9.1796875" customWidth="1"/>
    <col min="12297" max="12297" width="20.81640625" customWidth="1"/>
    <col min="12298" max="12298" width="11.81640625" customWidth="1"/>
    <col min="12299" max="12542" width="11.453125" customWidth="1"/>
    <col min="12543" max="12543" width="3.81640625" customWidth="1"/>
    <col min="12544" max="12544" width="37.81640625" customWidth="1"/>
    <col min="12545" max="12545" width="8.81640625" customWidth="1"/>
    <col min="12546" max="12546" width="12.54296875" customWidth="1"/>
    <col min="12547" max="12548" width="8.453125" customWidth="1"/>
    <col min="12549" max="12549" width="12.81640625" bestFit="1" customWidth="1"/>
    <col min="12550" max="12550" width="11.453125" customWidth="1"/>
    <col min="12551" max="12552" width="9.1796875" customWidth="1"/>
    <col min="12553" max="12553" width="20.81640625" customWidth="1"/>
    <col min="12554" max="12554" width="11.81640625" customWidth="1"/>
    <col min="12555" max="12798" width="11.453125" customWidth="1"/>
    <col min="12799" max="12799" width="3.81640625" customWidth="1"/>
    <col min="12800" max="12800" width="37.81640625" customWidth="1"/>
    <col min="12801" max="12801" width="8.81640625" customWidth="1"/>
    <col min="12802" max="12802" width="12.54296875" customWidth="1"/>
    <col min="12803" max="12804" width="8.453125" customWidth="1"/>
    <col min="12805" max="12805" width="12.81640625" bestFit="1" customWidth="1"/>
    <col min="12806" max="12806" width="11.453125" customWidth="1"/>
    <col min="12807" max="12808" width="9.1796875" customWidth="1"/>
    <col min="12809" max="12809" width="20.81640625" customWidth="1"/>
    <col min="12810" max="12810" width="11.81640625" customWidth="1"/>
    <col min="12811" max="13054" width="11.453125" customWidth="1"/>
    <col min="13055" max="13055" width="3.81640625" customWidth="1"/>
    <col min="13056" max="13056" width="37.81640625" customWidth="1"/>
    <col min="13057" max="13057" width="8.81640625" customWidth="1"/>
    <col min="13058" max="13058" width="12.54296875" customWidth="1"/>
    <col min="13059" max="13060" width="8.453125" customWidth="1"/>
    <col min="13061" max="13061" width="12.81640625" bestFit="1" customWidth="1"/>
    <col min="13062" max="13062" width="11.453125" customWidth="1"/>
    <col min="13063" max="13064" width="9.1796875" customWidth="1"/>
    <col min="13065" max="13065" width="20.81640625" customWidth="1"/>
    <col min="13066" max="13066" width="11.81640625" customWidth="1"/>
    <col min="13067" max="13310" width="11.453125" customWidth="1"/>
    <col min="13311" max="13311" width="3.81640625" customWidth="1"/>
    <col min="13312" max="13312" width="37.81640625" customWidth="1"/>
    <col min="13313" max="13313" width="8.81640625" customWidth="1"/>
    <col min="13314" max="13314" width="12.54296875" customWidth="1"/>
    <col min="13315" max="13316" width="8.453125" customWidth="1"/>
    <col min="13317" max="13317" width="12.81640625" bestFit="1" customWidth="1"/>
    <col min="13318" max="13318" width="11.453125" customWidth="1"/>
    <col min="13319" max="13320" width="9.1796875" customWidth="1"/>
    <col min="13321" max="13321" width="20.81640625" customWidth="1"/>
    <col min="13322" max="13322" width="11.81640625" customWidth="1"/>
    <col min="13323" max="13566" width="11.453125" customWidth="1"/>
    <col min="13567" max="13567" width="3.81640625" customWidth="1"/>
    <col min="13568" max="13568" width="37.81640625" customWidth="1"/>
    <col min="13569" max="13569" width="8.81640625" customWidth="1"/>
    <col min="13570" max="13570" width="12.54296875" customWidth="1"/>
    <col min="13571" max="13572" width="8.453125" customWidth="1"/>
    <col min="13573" max="13573" width="12.81640625" bestFit="1" customWidth="1"/>
    <col min="13574" max="13574" width="11.453125" customWidth="1"/>
    <col min="13575" max="13576" width="9.1796875" customWidth="1"/>
    <col min="13577" max="13577" width="20.81640625" customWidth="1"/>
    <col min="13578" max="13578" width="11.81640625" customWidth="1"/>
    <col min="13579" max="13822" width="11.453125" customWidth="1"/>
    <col min="13823" max="13823" width="3.81640625" customWidth="1"/>
    <col min="13824" max="13824" width="37.81640625" customWidth="1"/>
    <col min="13825" max="13825" width="8.81640625" customWidth="1"/>
    <col min="13826" max="13826" width="12.54296875" customWidth="1"/>
    <col min="13827" max="13828" width="8.453125" customWidth="1"/>
    <col min="13829" max="13829" width="12.81640625" bestFit="1" customWidth="1"/>
    <col min="13830" max="13830" width="11.453125" customWidth="1"/>
    <col min="13831" max="13832" width="9.1796875" customWidth="1"/>
    <col min="13833" max="13833" width="20.81640625" customWidth="1"/>
    <col min="13834" max="13834" width="11.81640625" customWidth="1"/>
    <col min="13835" max="14078" width="11.453125" customWidth="1"/>
    <col min="14079" max="14079" width="3.81640625" customWidth="1"/>
    <col min="14080" max="14080" width="37.81640625" customWidth="1"/>
    <col min="14081" max="14081" width="8.81640625" customWidth="1"/>
    <col min="14082" max="14082" width="12.54296875" customWidth="1"/>
    <col min="14083" max="14084" width="8.453125" customWidth="1"/>
    <col min="14085" max="14085" width="12.81640625" bestFit="1" customWidth="1"/>
    <col min="14086" max="14086" width="11.453125" customWidth="1"/>
    <col min="14087" max="14088" width="9.1796875" customWidth="1"/>
    <col min="14089" max="14089" width="20.81640625" customWidth="1"/>
    <col min="14090" max="14090" width="11.81640625" customWidth="1"/>
    <col min="14091" max="14334" width="11.453125" customWidth="1"/>
    <col min="14335" max="14335" width="3.81640625" customWidth="1"/>
    <col min="14336" max="14336" width="37.81640625" customWidth="1"/>
    <col min="14337" max="14337" width="8.81640625" customWidth="1"/>
    <col min="14338" max="14338" width="12.54296875" customWidth="1"/>
    <col min="14339" max="14340" width="8.453125" customWidth="1"/>
    <col min="14341" max="14341" width="12.81640625" bestFit="1" customWidth="1"/>
    <col min="14342" max="14342" width="11.453125" customWidth="1"/>
    <col min="14343" max="14344" width="9.1796875" customWidth="1"/>
    <col min="14345" max="14345" width="20.81640625" customWidth="1"/>
    <col min="14346" max="14346" width="11.81640625" customWidth="1"/>
    <col min="14347" max="14590" width="11.453125" customWidth="1"/>
    <col min="14591" max="14591" width="3.81640625" customWidth="1"/>
    <col min="14592" max="14592" width="37.81640625" customWidth="1"/>
    <col min="14593" max="14593" width="8.81640625" customWidth="1"/>
    <col min="14594" max="14594" width="12.54296875" customWidth="1"/>
    <col min="14595" max="14596" width="8.453125" customWidth="1"/>
    <col min="14597" max="14597" width="12.81640625" bestFit="1" customWidth="1"/>
    <col min="14598" max="14598" width="11.453125" customWidth="1"/>
    <col min="14599" max="14600" width="9.1796875" customWidth="1"/>
    <col min="14601" max="14601" width="20.81640625" customWidth="1"/>
    <col min="14602" max="14602" width="11.81640625" customWidth="1"/>
    <col min="14603" max="14846" width="11.453125" customWidth="1"/>
    <col min="14847" max="14847" width="3.81640625" customWidth="1"/>
    <col min="14848" max="14848" width="37.81640625" customWidth="1"/>
    <col min="14849" max="14849" width="8.81640625" customWidth="1"/>
    <col min="14850" max="14850" width="12.54296875" customWidth="1"/>
    <col min="14851" max="14852" width="8.453125" customWidth="1"/>
    <col min="14853" max="14853" width="12.81640625" bestFit="1" customWidth="1"/>
    <col min="14854" max="14854" width="11.453125" customWidth="1"/>
    <col min="14855" max="14856" width="9.1796875" customWidth="1"/>
    <col min="14857" max="14857" width="20.81640625" customWidth="1"/>
    <col min="14858" max="14858" width="11.81640625" customWidth="1"/>
    <col min="14859" max="15102" width="11.453125" customWidth="1"/>
    <col min="15103" max="15103" width="3.81640625" customWidth="1"/>
    <col min="15104" max="15104" width="37.81640625" customWidth="1"/>
    <col min="15105" max="15105" width="8.81640625" customWidth="1"/>
    <col min="15106" max="15106" width="12.54296875" customWidth="1"/>
    <col min="15107" max="15108" width="8.453125" customWidth="1"/>
    <col min="15109" max="15109" width="12.81640625" bestFit="1" customWidth="1"/>
    <col min="15110" max="15110" width="11.453125" customWidth="1"/>
    <col min="15111" max="15112" width="9.1796875" customWidth="1"/>
    <col min="15113" max="15113" width="20.81640625" customWidth="1"/>
    <col min="15114" max="15114" width="11.81640625" customWidth="1"/>
    <col min="15115" max="15358" width="11.453125" customWidth="1"/>
    <col min="15359" max="15359" width="3.81640625" customWidth="1"/>
    <col min="15360" max="15360" width="37.81640625" customWidth="1"/>
    <col min="15361" max="15361" width="8.81640625" customWidth="1"/>
    <col min="15362" max="15362" width="12.54296875" customWidth="1"/>
    <col min="15363" max="15364" width="8.453125" customWidth="1"/>
    <col min="15365" max="15365" width="12.81640625" bestFit="1" customWidth="1"/>
    <col min="15366" max="15366" width="11.453125" customWidth="1"/>
    <col min="15367" max="15368" width="9.1796875" customWidth="1"/>
    <col min="15369" max="15369" width="20.81640625" customWidth="1"/>
    <col min="15370" max="15370" width="11.81640625" customWidth="1"/>
    <col min="15371" max="15614" width="11.453125" customWidth="1"/>
    <col min="15615" max="15615" width="3.81640625" customWidth="1"/>
    <col min="15616" max="15616" width="37.81640625" customWidth="1"/>
    <col min="15617" max="15617" width="8.81640625" customWidth="1"/>
    <col min="15618" max="15618" width="12.54296875" customWidth="1"/>
    <col min="15619" max="15620" width="8.453125" customWidth="1"/>
    <col min="15621" max="15621" width="12.81640625" bestFit="1" customWidth="1"/>
    <col min="15622" max="15622" width="11.453125" customWidth="1"/>
    <col min="15623" max="15624" width="9.1796875" customWidth="1"/>
    <col min="15625" max="15625" width="20.81640625" customWidth="1"/>
    <col min="15626" max="15626" width="11.81640625" customWidth="1"/>
    <col min="15627" max="15870" width="11.453125" customWidth="1"/>
    <col min="15871" max="15871" width="3.81640625" customWidth="1"/>
    <col min="15872" max="15872" width="37.81640625" customWidth="1"/>
    <col min="15873" max="15873" width="8.81640625" customWidth="1"/>
    <col min="15874" max="15874" width="12.54296875" customWidth="1"/>
    <col min="15875" max="15876" width="8.453125" customWidth="1"/>
    <col min="15877" max="15877" width="12.81640625" bestFit="1" customWidth="1"/>
    <col min="15878" max="15878" width="11.453125" customWidth="1"/>
    <col min="15879" max="15880" width="9.1796875" customWidth="1"/>
    <col min="15881" max="15881" width="20.81640625" customWidth="1"/>
    <col min="15882" max="15882" width="11.81640625" customWidth="1"/>
    <col min="15883" max="16126" width="11.453125" customWidth="1"/>
    <col min="16127" max="16127" width="3.81640625" customWidth="1"/>
    <col min="16128" max="16128" width="37.81640625" customWidth="1"/>
    <col min="16129" max="16129" width="8.81640625" customWidth="1"/>
    <col min="16130" max="16130" width="12.54296875" customWidth="1"/>
    <col min="16131" max="16132" width="8.453125" customWidth="1"/>
    <col min="16133" max="16133" width="12.81640625" bestFit="1" customWidth="1"/>
    <col min="16134" max="16134" width="11.453125" customWidth="1"/>
    <col min="16135" max="16136" width="9.1796875" customWidth="1"/>
    <col min="16137" max="16137" width="20.81640625" customWidth="1"/>
    <col min="16138" max="16138" width="11.81640625" customWidth="1"/>
    <col min="16139" max="16384" width="11.453125" customWidth="1"/>
  </cols>
  <sheetData>
    <row r="1" spans="1:11" ht="17.25" customHeight="1" x14ac:dyDescent="0.35">
      <c r="A1" s="201"/>
      <c r="B1" s="201"/>
      <c r="C1" s="206" t="s">
        <v>65</v>
      </c>
      <c r="D1" s="206"/>
      <c r="E1" s="206"/>
      <c r="F1" s="206"/>
      <c r="G1" s="206"/>
      <c r="H1" s="206"/>
      <c r="I1" s="206"/>
      <c r="J1" s="206"/>
      <c r="K1" s="206"/>
    </row>
    <row r="2" spans="1:11" ht="28.5" customHeight="1" x14ac:dyDescent="0.35">
      <c r="A2" s="202"/>
      <c r="B2" s="202"/>
      <c r="C2" s="207"/>
      <c r="D2" s="207"/>
      <c r="E2" s="207"/>
      <c r="F2" s="207"/>
      <c r="G2" s="207"/>
      <c r="H2" s="207"/>
      <c r="I2" s="207"/>
      <c r="J2" s="207"/>
      <c r="K2" s="207"/>
    </row>
    <row r="3" spans="1:11" ht="31.5" customHeight="1" x14ac:dyDescent="0.35">
      <c r="A3" s="203"/>
      <c r="B3" s="203"/>
      <c r="C3" s="208"/>
      <c r="D3" s="208"/>
      <c r="E3" s="208"/>
      <c r="F3" s="208"/>
      <c r="G3" s="208"/>
      <c r="H3" s="208"/>
      <c r="I3" s="208"/>
      <c r="J3" s="208"/>
      <c r="K3" s="208"/>
    </row>
    <row r="4" spans="1:11" s="4" customFormat="1" ht="12.75" customHeight="1" x14ac:dyDescent="0.2">
      <c r="A4" s="2"/>
      <c r="B4" s="2"/>
      <c r="C4" s="204" t="s">
        <v>0</v>
      </c>
      <c r="D4" s="204"/>
      <c r="E4" s="204"/>
      <c r="F4" s="204"/>
      <c r="G4" s="205"/>
      <c r="H4" s="3">
        <v>600.30600000000004</v>
      </c>
      <c r="I4" s="212" t="s">
        <v>1</v>
      </c>
      <c r="J4" s="212" t="s">
        <v>2</v>
      </c>
      <c r="K4" s="209" t="s">
        <v>81</v>
      </c>
    </row>
    <row r="5" spans="1:11" s="4" customFormat="1" ht="12.75" customHeight="1" x14ac:dyDescent="0.2">
      <c r="A5" s="215"/>
      <c r="B5" s="216" t="s">
        <v>3</v>
      </c>
      <c r="C5" s="217" t="s">
        <v>4</v>
      </c>
      <c r="D5" s="217" t="s">
        <v>5</v>
      </c>
      <c r="E5" s="219" t="s">
        <v>6</v>
      </c>
      <c r="F5" s="220"/>
      <c r="G5" s="221" t="s">
        <v>7</v>
      </c>
      <c r="H5" s="223" t="s">
        <v>8</v>
      </c>
      <c r="I5" s="213"/>
      <c r="J5" s="213"/>
      <c r="K5" s="210"/>
    </row>
    <row r="6" spans="1:11" s="4" customFormat="1" ht="12.75" customHeight="1" x14ac:dyDescent="0.2">
      <c r="A6" s="215"/>
      <c r="B6" s="216"/>
      <c r="C6" s="218"/>
      <c r="D6" s="218"/>
      <c r="E6" s="5" t="s">
        <v>9</v>
      </c>
      <c r="F6" s="49" t="s">
        <v>10</v>
      </c>
      <c r="G6" s="222"/>
      <c r="H6" s="224"/>
      <c r="I6" s="214"/>
      <c r="J6" s="214"/>
      <c r="K6" s="211"/>
    </row>
    <row r="7" spans="1:11" s="4" customFormat="1" ht="10.5" x14ac:dyDescent="0.25">
      <c r="A7" s="6">
        <v>1</v>
      </c>
      <c r="B7" s="7" t="s">
        <v>11</v>
      </c>
      <c r="C7" s="8"/>
      <c r="D7" s="9"/>
      <c r="E7" s="8"/>
      <c r="F7" s="8"/>
      <c r="G7" s="67">
        <f>G15+G14+G13+G11+G10+G9+G8</f>
        <v>3952200</v>
      </c>
      <c r="H7" s="10">
        <f>H15+H14+H13+H11+H10+H9+H8</f>
        <v>6583.6423424053728</v>
      </c>
      <c r="I7" s="10">
        <f>H7</f>
        <v>6583.6423424053728</v>
      </c>
      <c r="J7" s="11"/>
      <c r="K7" s="11"/>
    </row>
    <row r="8" spans="1:11" s="4" customFormat="1" ht="10.5" x14ac:dyDescent="0.25">
      <c r="A8" s="12"/>
      <c r="B8" s="79" t="s">
        <v>12</v>
      </c>
      <c r="C8" s="80">
        <v>30</v>
      </c>
      <c r="D8" s="80">
        <v>2500</v>
      </c>
      <c r="E8" s="80" t="s">
        <v>13</v>
      </c>
      <c r="F8" s="80">
        <v>5</v>
      </c>
      <c r="G8" s="80">
        <f>+C8*D8*F8</f>
        <v>375000</v>
      </c>
      <c r="H8" s="81">
        <f t="shared" ref="H8:H15" si="0">+G8/$H$4</f>
        <v>624.68141247963536</v>
      </c>
      <c r="I8" s="81">
        <f>H8</f>
        <v>624.68141247963536</v>
      </c>
      <c r="J8" s="82"/>
      <c r="K8" s="2"/>
    </row>
    <row r="9" spans="1:11" s="4" customFormat="1" ht="10.5" x14ac:dyDescent="0.25">
      <c r="A9" s="18"/>
      <c r="B9" s="13" t="s">
        <v>14</v>
      </c>
      <c r="C9" s="65">
        <v>55</v>
      </c>
      <c r="D9" s="65">
        <v>4000</v>
      </c>
      <c r="E9" s="65" t="s">
        <v>13</v>
      </c>
      <c r="F9" s="65">
        <v>5</v>
      </c>
      <c r="G9" s="65">
        <f>+C9*D9*F9</f>
        <v>1100000</v>
      </c>
      <c r="H9" s="66">
        <f t="shared" si="0"/>
        <v>1832.3988099402636</v>
      </c>
      <c r="I9" s="66">
        <f t="shared" ref="I9:I15" si="1">H9</f>
        <v>1832.3988099402636</v>
      </c>
      <c r="J9" s="3"/>
      <c r="K9" s="2"/>
    </row>
    <row r="10" spans="1:11" s="4" customFormat="1" ht="10.5" x14ac:dyDescent="0.25">
      <c r="A10" s="12"/>
      <c r="B10" s="13" t="s">
        <v>15</v>
      </c>
      <c r="C10" s="65">
        <v>55</v>
      </c>
      <c r="D10" s="65">
        <v>5000</v>
      </c>
      <c r="E10" s="65" t="s">
        <v>13</v>
      </c>
      <c r="F10" s="65">
        <v>5</v>
      </c>
      <c r="G10" s="65">
        <f>+C10*D10*F10</f>
        <v>1375000</v>
      </c>
      <c r="H10" s="66">
        <f t="shared" si="0"/>
        <v>2290.4985124253294</v>
      </c>
      <c r="I10" s="66">
        <f t="shared" si="1"/>
        <v>2290.4985124253294</v>
      </c>
      <c r="J10" s="3"/>
      <c r="K10" s="2"/>
    </row>
    <row r="11" spans="1:11" s="4" customFormat="1" ht="10.5" x14ac:dyDescent="0.25">
      <c r="A11" s="12"/>
      <c r="B11" s="19" t="s">
        <v>16</v>
      </c>
      <c r="C11" s="65">
        <v>1</v>
      </c>
      <c r="D11" s="65">
        <v>150000</v>
      </c>
      <c r="E11" s="65" t="s">
        <v>13</v>
      </c>
      <c r="F11" s="65">
        <v>4</v>
      </c>
      <c r="G11" s="65">
        <f>+C11*D11*F11</f>
        <v>600000</v>
      </c>
      <c r="H11" s="66">
        <f t="shared" si="0"/>
        <v>999.49025996741659</v>
      </c>
      <c r="I11" s="66">
        <f t="shared" si="1"/>
        <v>999.49025996741659</v>
      </c>
      <c r="J11" s="3"/>
      <c r="K11" s="2"/>
    </row>
    <row r="12" spans="1:11" s="4" customFormat="1" ht="10.5" x14ac:dyDescent="0.25">
      <c r="A12" s="12"/>
      <c r="B12" s="83" t="s">
        <v>17</v>
      </c>
      <c r="C12" s="80"/>
      <c r="D12" s="80"/>
      <c r="E12" s="80"/>
      <c r="F12" s="80"/>
      <c r="G12" s="80"/>
      <c r="H12" s="81">
        <f t="shared" si="0"/>
        <v>0</v>
      </c>
      <c r="I12" s="81">
        <f t="shared" si="1"/>
        <v>0</v>
      </c>
      <c r="J12" s="82"/>
      <c r="K12" s="2"/>
    </row>
    <row r="13" spans="1:11" s="4" customFormat="1" ht="10.5" x14ac:dyDescent="0.25">
      <c r="A13" s="12"/>
      <c r="B13" s="79" t="s">
        <v>18</v>
      </c>
      <c r="C13" s="80">
        <v>2</v>
      </c>
      <c r="D13" s="80">
        <v>150000</v>
      </c>
      <c r="E13" s="80" t="s">
        <v>13</v>
      </c>
      <c r="F13" s="80">
        <v>1</v>
      </c>
      <c r="G13" s="80">
        <f>+C13*D13*F13</f>
        <v>300000</v>
      </c>
      <c r="H13" s="81">
        <f t="shared" si="0"/>
        <v>499.7451299837083</v>
      </c>
      <c r="I13" s="81">
        <f t="shared" si="1"/>
        <v>499.7451299837083</v>
      </c>
      <c r="J13" s="82"/>
      <c r="K13" s="2"/>
    </row>
    <row r="14" spans="1:11" s="4" customFormat="1" ht="10.5" x14ac:dyDescent="0.25">
      <c r="A14" s="12"/>
      <c r="B14" s="79" t="s">
        <v>19</v>
      </c>
      <c r="C14" s="80">
        <v>60</v>
      </c>
      <c r="D14" s="80">
        <v>870</v>
      </c>
      <c r="E14" s="80" t="s">
        <v>13</v>
      </c>
      <c r="F14" s="80">
        <v>1</v>
      </c>
      <c r="G14" s="80">
        <f>+C14*D14*F14</f>
        <v>52200</v>
      </c>
      <c r="H14" s="81">
        <f t="shared" si="0"/>
        <v>86.955652617165242</v>
      </c>
      <c r="I14" s="81">
        <f t="shared" si="1"/>
        <v>86.955652617165242</v>
      </c>
      <c r="J14" s="82"/>
      <c r="K14" s="2"/>
    </row>
    <row r="15" spans="1:11" s="4" customFormat="1" ht="10.5" x14ac:dyDescent="0.25">
      <c r="A15" s="12"/>
      <c r="B15" s="79" t="s">
        <v>72</v>
      </c>
      <c r="C15" s="80"/>
      <c r="D15" s="80"/>
      <c r="E15" s="80"/>
      <c r="F15" s="80"/>
      <c r="G15" s="80">
        <v>150000</v>
      </c>
      <c r="H15" s="81">
        <f t="shared" si="0"/>
        <v>249.87256499185415</v>
      </c>
      <c r="I15" s="81">
        <f t="shared" si="1"/>
        <v>249.87256499185415</v>
      </c>
      <c r="J15" s="82"/>
      <c r="K15" s="2"/>
    </row>
    <row r="16" spans="1:11" s="4" customFormat="1" ht="10.5" x14ac:dyDescent="0.25">
      <c r="A16" s="6">
        <v>2</v>
      </c>
      <c r="B16" s="7" t="s">
        <v>20</v>
      </c>
      <c r="C16" s="8"/>
      <c r="D16" s="9"/>
      <c r="E16" s="8"/>
      <c r="F16" s="8"/>
      <c r="G16" s="10">
        <f>G32+G31+G30+G29+G28+G27+G25+G24+G23+G22+G21+G20+G19+G18</f>
        <v>908100</v>
      </c>
      <c r="H16" s="21">
        <f>+G16/$H$4</f>
        <v>1512.7285084606849</v>
      </c>
      <c r="I16" s="11">
        <f>H16</f>
        <v>1512.7285084606849</v>
      </c>
      <c r="J16" s="31"/>
      <c r="K16" s="11"/>
    </row>
    <row r="17" spans="1:11" s="4" customFormat="1" ht="10.5" x14ac:dyDescent="0.25">
      <c r="A17" s="22"/>
      <c r="B17" s="23" t="s">
        <v>21</v>
      </c>
      <c r="C17" s="65"/>
      <c r="D17" s="65"/>
      <c r="E17" s="65"/>
      <c r="F17" s="65"/>
      <c r="G17" s="65"/>
      <c r="H17" s="24"/>
      <c r="I17" s="25"/>
      <c r="J17" s="54"/>
      <c r="K17" s="2"/>
    </row>
    <row r="18" spans="1:11" s="4" customFormat="1" ht="10.5" x14ac:dyDescent="0.25">
      <c r="A18" s="18"/>
      <c r="B18" s="26" t="s">
        <v>22</v>
      </c>
      <c r="C18" s="65">
        <v>30</v>
      </c>
      <c r="D18" s="65">
        <v>100</v>
      </c>
      <c r="E18" s="68"/>
      <c r="F18" s="68"/>
      <c r="G18" s="65">
        <f t="shared" ref="G18:G32" si="2">+C18*D18</f>
        <v>3000</v>
      </c>
      <c r="H18" s="66">
        <f t="shared" ref="H18:H32" si="3">+G18/$H$4</f>
        <v>4.997451299837083</v>
      </c>
      <c r="I18" s="66">
        <f t="shared" ref="I18:I32" si="4">H18</f>
        <v>4.997451299837083</v>
      </c>
      <c r="J18" s="3"/>
      <c r="K18" s="2"/>
    </row>
    <row r="19" spans="1:11" s="4" customFormat="1" ht="10.5" x14ac:dyDescent="0.25">
      <c r="A19" s="18"/>
      <c r="B19" s="26" t="s">
        <v>23</v>
      </c>
      <c r="C19" s="65">
        <v>5</v>
      </c>
      <c r="D19" s="65">
        <v>4000</v>
      </c>
      <c r="E19" s="68"/>
      <c r="F19" s="68"/>
      <c r="G19" s="65">
        <f t="shared" si="2"/>
        <v>20000</v>
      </c>
      <c r="H19" s="66">
        <f t="shared" si="3"/>
        <v>33.316341998913884</v>
      </c>
      <c r="I19" s="66">
        <f t="shared" si="4"/>
        <v>33.316341998913884</v>
      </c>
      <c r="J19" s="3"/>
      <c r="K19" s="2"/>
    </row>
    <row r="20" spans="1:11" s="4" customFormat="1" ht="10.5" x14ac:dyDescent="0.25">
      <c r="A20" s="18"/>
      <c r="B20" s="26" t="s">
        <v>24</v>
      </c>
      <c r="C20" s="65">
        <v>14</v>
      </c>
      <c r="D20" s="65">
        <v>2000</v>
      </c>
      <c r="E20" s="68"/>
      <c r="F20" s="68"/>
      <c r="G20" s="65">
        <f>+C20*D20</f>
        <v>28000</v>
      </c>
      <c r="H20" s="66">
        <f>+G20/$H$4</f>
        <v>46.642878798479437</v>
      </c>
      <c r="I20" s="66">
        <f>H20</f>
        <v>46.642878798479437</v>
      </c>
      <c r="J20" s="3"/>
      <c r="K20" s="2"/>
    </row>
    <row r="21" spans="1:11" s="4" customFormat="1" ht="10.5" x14ac:dyDescent="0.25">
      <c r="A21" s="27"/>
      <c r="B21" s="26" t="s">
        <v>25</v>
      </c>
      <c r="C21" s="65">
        <v>30</v>
      </c>
      <c r="D21" s="65">
        <v>2000</v>
      </c>
      <c r="E21" s="68"/>
      <c r="F21" s="68"/>
      <c r="G21" s="65">
        <f>+C21*D21</f>
        <v>60000</v>
      </c>
      <c r="H21" s="66">
        <f>+G21/$H$4</f>
        <v>99.949025996741653</v>
      </c>
      <c r="I21" s="66">
        <f>H21</f>
        <v>99.949025996741653</v>
      </c>
      <c r="J21" s="3"/>
      <c r="K21" s="2"/>
    </row>
    <row r="22" spans="1:11" s="4" customFormat="1" ht="10.5" x14ac:dyDescent="0.25">
      <c r="A22" s="18"/>
      <c r="B22" s="26" t="s">
        <v>26</v>
      </c>
      <c r="C22" s="65">
        <v>30</v>
      </c>
      <c r="D22" s="65">
        <v>600</v>
      </c>
      <c r="E22" s="68"/>
      <c r="F22" s="68"/>
      <c r="G22" s="65">
        <f t="shared" si="2"/>
        <v>18000</v>
      </c>
      <c r="H22" s="66">
        <f t="shared" si="3"/>
        <v>29.984707799022498</v>
      </c>
      <c r="I22" s="66">
        <f t="shared" si="4"/>
        <v>29.984707799022498</v>
      </c>
      <c r="J22" s="3"/>
      <c r="K22" s="2"/>
    </row>
    <row r="23" spans="1:11" s="4" customFormat="1" ht="10.5" x14ac:dyDescent="0.25">
      <c r="A23" s="18"/>
      <c r="B23" s="26" t="s">
        <v>27</v>
      </c>
      <c r="C23" s="65">
        <v>90</v>
      </c>
      <c r="D23" s="65">
        <v>200</v>
      </c>
      <c r="E23" s="68"/>
      <c r="F23" s="68"/>
      <c r="G23" s="65">
        <f t="shared" si="2"/>
        <v>18000</v>
      </c>
      <c r="H23" s="66">
        <f t="shared" si="3"/>
        <v>29.984707799022498</v>
      </c>
      <c r="I23" s="66">
        <f t="shared" si="4"/>
        <v>29.984707799022498</v>
      </c>
      <c r="J23" s="3"/>
      <c r="K23" s="2"/>
    </row>
    <row r="24" spans="1:11" s="4" customFormat="1" ht="10.5" x14ac:dyDescent="0.25">
      <c r="A24" s="18"/>
      <c r="B24" s="26" t="s">
        <v>28</v>
      </c>
      <c r="C24" s="65">
        <v>74</v>
      </c>
      <c r="D24" s="65">
        <v>150</v>
      </c>
      <c r="E24" s="68"/>
      <c r="F24" s="68"/>
      <c r="G24" s="65">
        <f t="shared" si="2"/>
        <v>11100</v>
      </c>
      <c r="H24" s="66">
        <f t="shared" si="3"/>
        <v>18.490569809397208</v>
      </c>
      <c r="I24" s="66">
        <f t="shared" si="4"/>
        <v>18.490569809397208</v>
      </c>
      <c r="J24" s="3"/>
      <c r="K24" s="2"/>
    </row>
    <row r="25" spans="1:11" s="4" customFormat="1" ht="10.5" x14ac:dyDescent="0.25">
      <c r="A25" s="18"/>
      <c r="B25" s="26" t="s">
        <v>29</v>
      </c>
      <c r="C25" s="65">
        <v>24</v>
      </c>
      <c r="D25" s="65">
        <v>1500</v>
      </c>
      <c r="E25" s="68"/>
      <c r="F25" s="68"/>
      <c r="G25" s="65">
        <f t="shared" si="2"/>
        <v>36000</v>
      </c>
      <c r="H25" s="66">
        <f t="shared" si="3"/>
        <v>59.969415598044996</v>
      </c>
      <c r="I25" s="66">
        <f t="shared" si="4"/>
        <v>59.969415598044996</v>
      </c>
      <c r="J25" s="3"/>
      <c r="K25" s="2"/>
    </row>
    <row r="26" spans="1:11" s="4" customFormat="1" ht="10.5" x14ac:dyDescent="0.25">
      <c r="A26" s="18"/>
      <c r="B26" s="28" t="s">
        <v>30</v>
      </c>
      <c r="C26" s="65"/>
      <c r="D26" s="65"/>
      <c r="E26" s="68"/>
      <c r="F26" s="68"/>
      <c r="G26" s="65"/>
      <c r="H26" s="66"/>
      <c r="I26" s="17"/>
      <c r="J26" s="3"/>
      <c r="K26" s="2"/>
    </row>
    <row r="27" spans="1:11" s="4" customFormat="1" ht="10.5" x14ac:dyDescent="0.25">
      <c r="A27" s="27"/>
      <c r="B27" s="26" t="s">
        <v>31</v>
      </c>
      <c r="C27" s="65">
        <v>30</v>
      </c>
      <c r="D27" s="65">
        <v>2000</v>
      </c>
      <c r="E27" s="68"/>
      <c r="F27" s="68"/>
      <c r="G27" s="65">
        <f t="shared" si="2"/>
        <v>60000</v>
      </c>
      <c r="H27" s="66">
        <f t="shared" si="3"/>
        <v>99.949025996741653</v>
      </c>
      <c r="I27" s="66">
        <f t="shared" si="4"/>
        <v>99.949025996741653</v>
      </c>
      <c r="J27" s="3"/>
      <c r="K27" s="2"/>
    </row>
    <row r="28" spans="1:11" s="4" customFormat="1" ht="10.5" x14ac:dyDescent="0.25">
      <c r="A28" s="27"/>
      <c r="B28" s="26" t="s">
        <v>32</v>
      </c>
      <c r="C28" s="65">
        <v>30</v>
      </c>
      <c r="D28" s="65">
        <v>13000</v>
      </c>
      <c r="E28" s="68"/>
      <c r="F28" s="68"/>
      <c r="G28" s="65">
        <f t="shared" si="2"/>
        <v>390000</v>
      </c>
      <c r="H28" s="66">
        <f t="shared" si="3"/>
        <v>649.66866897882073</v>
      </c>
      <c r="I28" s="66">
        <f t="shared" si="4"/>
        <v>649.66866897882073</v>
      </c>
      <c r="J28" s="3"/>
      <c r="K28" s="2"/>
    </row>
    <row r="29" spans="1:11" s="4" customFormat="1" ht="10.5" x14ac:dyDescent="0.25">
      <c r="A29" s="27"/>
      <c r="B29" s="26" t="s">
        <v>33</v>
      </c>
      <c r="C29" s="65">
        <v>7</v>
      </c>
      <c r="D29" s="65">
        <v>6000</v>
      </c>
      <c r="E29" s="68"/>
      <c r="F29" s="68"/>
      <c r="G29" s="65">
        <f t="shared" si="2"/>
        <v>42000</v>
      </c>
      <c r="H29" s="66">
        <f t="shared" si="3"/>
        <v>69.964318197719152</v>
      </c>
      <c r="I29" s="66">
        <f t="shared" si="4"/>
        <v>69.964318197719152</v>
      </c>
      <c r="J29" s="3"/>
      <c r="K29" s="2"/>
    </row>
    <row r="30" spans="1:11" s="4" customFormat="1" ht="10.5" x14ac:dyDescent="0.25">
      <c r="A30" s="27"/>
      <c r="B30" s="26" t="s">
        <v>34</v>
      </c>
      <c r="C30" s="65">
        <v>7</v>
      </c>
      <c r="D30" s="65">
        <v>2500</v>
      </c>
      <c r="E30" s="68"/>
      <c r="F30" s="68"/>
      <c r="G30" s="65">
        <f t="shared" si="2"/>
        <v>17500</v>
      </c>
      <c r="H30" s="66">
        <f t="shared" si="3"/>
        <v>29.151799249049649</v>
      </c>
      <c r="I30" s="66">
        <f t="shared" si="4"/>
        <v>29.151799249049649</v>
      </c>
      <c r="J30" s="3"/>
      <c r="K30" s="2"/>
    </row>
    <row r="31" spans="1:11" s="4" customFormat="1" ht="10.5" x14ac:dyDescent="0.25">
      <c r="A31" s="27"/>
      <c r="B31" s="26" t="s">
        <v>35</v>
      </c>
      <c r="C31" s="65">
        <v>7</v>
      </c>
      <c r="D31" s="65">
        <v>3500</v>
      </c>
      <c r="E31" s="68"/>
      <c r="F31" s="68"/>
      <c r="G31" s="65">
        <f t="shared" si="2"/>
        <v>24500</v>
      </c>
      <c r="H31" s="66">
        <f t="shared" si="3"/>
        <v>40.812518948669506</v>
      </c>
      <c r="I31" s="66">
        <f t="shared" si="4"/>
        <v>40.812518948669506</v>
      </c>
      <c r="J31" s="3"/>
      <c r="K31" s="2"/>
    </row>
    <row r="32" spans="1:11" s="4" customFormat="1" ht="10.5" x14ac:dyDescent="0.25">
      <c r="A32" s="27"/>
      <c r="B32" s="26" t="s">
        <v>36</v>
      </c>
      <c r="C32" s="65">
        <v>30</v>
      </c>
      <c r="D32" s="65">
        <v>6000</v>
      </c>
      <c r="E32" s="68"/>
      <c r="F32" s="68"/>
      <c r="G32" s="65">
        <f t="shared" si="2"/>
        <v>180000</v>
      </c>
      <c r="H32" s="66">
        <f t="shared" si="3"/>
        <v>299.84707799022499</v>
      </c>
      <c r="I32" s="66">
        <f t="shared" si="4"/>
        <v>299.84707799022499</v>
      </c>
      <c r="J32" s="3"/>
      <c r="K32" s="2"/>
    </row>
    <row r="33" spans="1:11" s="4" customFormat="1" ht="10.5" x14ac:dyDescent="0.25">
      <c r="A33" s="6">
        <v>3</v>
      </c>
      <c r="B33" s="7" t="s">
        <v>37</v>
      </c>
      <c r="C33" s="8"/>
      <c r="D33" s="9"/>
      <c r="E33" s="8"/>
      <c r="F33" s="8"/>
      <c r="G33" s="10">
        <f>G44+G43+G42+G41+G40+G39+G37+G36+G35</f>
        <v>19782500</v>
      </c>
      <c r="H33" s="21">
        <f>+G33/$H$4</f>
        <v>32954.026779675696</v>
      </c>
      <c r="I33" s="11">
        <f>H33</f>
        <v>32954.026779675696</v>
      </c>
      <c r="J33" s="31"/>
      <c r="K33" s="31"/>
    </row>
    <row r="34" spans="1:11" s="4" customFormat="1" ht="10.5" x14ac:dyDescent="0.25">
      <c r="A34" s="12"/>
      <c r="B34" s="20" t="s">
        <v>38</v>
      </c>
      <c r="C34" s="15"/>
      <c r="D34" s="14"/>
      <c r="E34" s="15"/>
      <c r="F34" s="15"/>
      <c r="G34" s="16"/>
      <c r="H34" s="66">
        <f t="shared" ref="H34:H47" si="5">+G34/$H$4</f>
        <v>0</v>
      </c>
      <c r="I34" s="66">
        <f>H34</f>
        <v>0</v>
      </c>
      <c r="J34" s="3"/>
      <c r="K34" s="2"/>
    </row>
    <row r="35" spans="1:11" s="4" customFormat="1" ht="10.5" x14ac:dyDescent="0.25">
      <c r="A35" s="12"/>
      <c r="B35" s="13" t="s">
        <v>39</v>
      </c>
      <c r="C35" s="65">
        <v>6</v>
      </c>
      <c r="D35" s="65">
        <v>15000</v>
      </c>
      <c r="E35" s="65" t="s">
        <v>13</v>
      </c>
      <c r="F35" s="65">
        <v>15</v>
      </c>
      <c r="G35" s="65">
        <f>+C35*D35*F35</f>
        <v>1350000</v>
      </c>
      <c r="H35" s="66">
        <f t="shared" si="5"/>
        <v>2248.8530849266872</v>
      </c>
      <c r="I35" s="66">
        <f t="shared" ref="I35:I45" si="6">H35</f>
        <v>2248.8530849266872</v>
      </c>
      <c r="J35" s="3"/>
      <c r="K35" s="2"/>
    </row>
    <row r="36" spans="1:11" s="4" customFormat="1" ht="10.5" x14ac:dyDescent="0.25">
      <c r="A36" s="12"/>
      <c r="B36" s="13" t="s">
        <v>40</v>
      </c>
      <c r="C36" s="65">
        <v>18</v>
      </c>
      <c r="D36" s="65">
        <v>13000</v>
      </c>
      <c r="E36" s="65" t="s">
        <v>13</v>
      </c>
      <c r="F36" s="65">
        <v>15</v>
      </c>
      <c r="G36" s="65">
        <f>+C36*D36*F36</f>
        <v>3510000</v>
      </c>
      <c r="H36" s="66">
        <f t="shared" si="5"/>
        <v>5847.0180208093871</v>
      </c>
      <c r="I36" s="66">
        <f t="shared" si="6"/>
        <v>5847.0180208093871</v>
      </c>
      <c r="J36" s="3"/>
      <c r="K36" s="2"/>
    </row>
    <row r="37" spans="1:11" s="4" customFormat="1" ht="10.5" x14ac:dyDescent="0.25">
      <c r="A37" s="12"/>
      <c r="B37" s="13" t="s">
        <v>66</v>
      </c>
      <c r="C37" s="65">
        <v>4</v>
      </c>
      <c r="D37" s="65">
        <v>8000</v>
      </c>
      <c r="E37" s="65" t="s">
        <v>13</v>
      </c>
      <c r="F37" s="65">
        <v>15</v>
      </c>
      <c r="G37" s="65">
        <f>+C37*D37*F37</f>
        <v>480000</v>
      </c>
      <c r="H37" s="66">
        <f>+G37/$H$4</f>
        <v>799.59220797393323</v>
      </c>
      <c r="I37" s="66">
        <f>H37</f>
        <v>799.59220797393323</v>
      </c>
      <c r="J37" s="3"/>
      <c r="K37" s="2"/>
    </row>
    <row r="38" spans="1:11" s="4" customFormat="1" ht="10.5" x14ac:dyDescent="0.25">
      <c r="A38" s="12"/>
      <c r="B38" s="20" t="s">
        <v>41</v>
      </c>
      <c r="C38" s="65"/>
      <c r="D38" s="65"/>
      <c r="E38" s="65"/>
      <c r="F38" s="65"/>
      <c r="G38" s="65"/>
      <c r="H38" s="66">
        <f t="shared" si="5"/>
        <v>0</v>
      </c>
      <c r="I38" s="66">
        <f t="shared" si="6"/>
        <v>0</v>
      </c>
      <c r="J38" s="3"/>
      <c r="K38" s="2"/>
    </row>
    <row r="39" spans="1:11" s="4" customFormat="1" ht="10.5" x14ac:dyDescent="0.25">
      <c r="A39" s="12"/>
      <c r="B39" s="13" t="s">
        <v>42</v>
      </c>
      <c r="C39" s="65">
        <v>5</v>
      </c>
      <c r="D39" s="65">
        <v>20000</v>
      </c>
      <c r="E39" s="65" t="s">
        <v>13</v>
      </c>
      <c r="F39" s="65">
        <v>10</v>
      </c>
      <c r="G39" s="65">
        <f>+C39*D39*F39</f>
        <v>1000000</v>
      </c>
      <c r="H39" s="66">
        <f>+G39/$H$4</f>
        <v>1665.8170999456943</v>
      </c>
      <c r="I39" s="66">
        <f>H39</f>
        <v>1665.8170999456943</v>
      </c>
      <c r="J39" s="3"/>
      <c r="K39" s="2"/>
    </row>
    <row r="40" spans="1:11" x14ac:dyDescent="0.35">
      <c r="A40" s="12"/>
      <c r="B40" s="13" t="s">
        <v>43</v>
      </c>
      <c r="C40" s="65">
        <v>5</v>
      </c>
      <c r="D40" s="65">
        <v>2500</v>
      </c>
      <c r="E40" s="65" t="s">
        <v>13</v>
      </c>
      <c r="F40" s="65">
        <v>15</v>
      </c>
      <c r="G40" s="65">
        <f>+C40*D40*F40</f>
        <v>187500</v>
      </c>
      <c r="H40" s="66">
        <f t="shared" si="5"/>
        <v>312.34070623981768</v>
      </c>
      <c r="I40" s="66">
        <f t="shared" si="6"/>
        <v>312.34070623981768</v>
      </c>
      <c r="J40" s="3"/>
      <c r="K40" s="57"/>
    </row>
    <row r="41" spans="1:11" x14ac:dyDescent="0.35">
      <c r="A41" s="12"/>
      <c r="B41" s="13" t="s">
        <v>67</v>
      </c>
      <c r="C41" s="65">
        <v>5</v>
      </c>
      <c r="D41" s="65">
        <v>5000</v>
      </c>
      <c r="E41" s="65" t="s">
        <v>13</v>
      </c>
      <c r="F41" s="65">
        <v>15</v>
      </c>
      <c r="G41" s="65">
        <f>+C41*D41*F41</f>
        <v>375000</v>
      </c>
      <c r="H41" s="66">
        <f t="shared" si="5"/>
        <v>624.68141247963536</v>
      </c>
      <c r="I41" s="66">
        <f t="shared" si="6"/>
        <v>624.68141247963536</v>
      </c>
      <c r="J41" s="3"/>
      <c r="K41" s="57"/>
    </row>
    <row r="42" spans="1:11" x14ac:dyDescent="0.35">
      <c r="A42" s="12"/>
      <c r="B42" s="13" t="s">
        <v>44</v>
      </c>
      <c r="C42" s="65">
        <v>8</v>
      </c>
      <c r="D42" s="65">
        <v>70000</v>
      </c>
      <c r="E42" s="65"/>
      <c r="F42" s="65">
        <v>15</v>
      </c>
      <c r="G42" s="65">
        <f>+C42*D42*F42</f>
        <v>8400000</v>
      </c>
      <c r="H42" s="66">
        <f t="shared" si="5"/>
        <v>13992.863639543832</v>
      </c>
      <c r="I42" s="66">
        <f t="shared" si="6"/>
        <v>13992.863639543832</v>
      </c>
      <c r="J42" s="3"/>
      <c r="K42" s="57"/>
    </row>
    <row r="43" spans="1:11" x14ac:dyDescent="0.35">
      <c r="A43" s="12"/>
      <c r="B43" s="13" t="s">
        <v>45</v>
      </c>
      <c r="C43" s="65">
        <v>10</v>
      </c>
      <c r="D43" s="65">
        <v>50000</v>
      </c>
      <c r="E43" s="65" t="s">
        <v>13</v>
      </c>
      <c r="F43" s="65">
        <v>2</v>
      </c>
      <c r="G43" s="65">
        <f>C43*D43*F43</f>
        <v>1000000</v>
      </c>
      <c r="H43" s="66">
        <f t="shared" si="5"/>
        <v>1665.8170999456943</v>
      </c>
      <c r="I43" s="66">
        <f t="shared" si="6"/>
        <v>1665.8170999456943</v>
      </c>
      <c r="J43" s="3"/>
      <c r="K43" s="57"/>
    </row>
    <row r="44" spans="1:11" s="4" customFormat="1" ht="10.5" x14ac:dyDescent="0.25">
      <c r="A44" s="29"/>
      <c r="B44" s="13" t="s">
        <v>46</v>
      </c>
      <c r="C44" s="65">
        <v>1</v>
      </c>
      <c r="D44" s="65">
        <v>870</v>
      </c>
      <c r="E44" s="65" t="s">
        <v>47</v>
      </c>
      <c r="F44" s="65">
        <v>4000</v>
      </c>
      <c r="G44" s="65">
        <f>C44*D44*F44</f>
        <v>3480000</v>
      </c>
      <c r="H44" s="66">
        <f>+G44/$H$4</f>
        <v>5797.0435078110158</v>
      </c>
      <c r="I44" s="66">
        <f t="shared" si="6"/>
        <v>5797.0435078110158</v>
      </c>
      <c r="J44" s="3"/>
      <c r="K44" s="2"/>
    </row>
    <row r="45" spans="1:11" s="4" customFormat="1" ht="10.5" x14ac:dyDescent="0.25">
      <c r="A45" s="6">
        <v>4</v>
      </c>
      <c r="B45" s="30" t="s">
        <v>69</v>
      </c>
      <c r="C45" s="8"/>
      <c r="D45" s="7"/>
      <c r="E45" s="8"/>
      <c r="F45" s="7"/>
      <c r="G45" s="10">
        <f>G47+G46</f>
        <v>23500000</v>
      </c>
      <c r="H45" s="31">
        <f>+G45/$H$4</f>
        <v>39146.701848723817</v>
      </c>
      <c r="I45" s="32">
        <f t="shared" si="6"/>
        <v>39146.701848723817</v>
      </c>
      <c r="J45" s="55">
        <f>SUM(J46:J46)</f>
        <v>0</v>
      </c>
      <c r="K45" s="55">
        <f>SUM(K46:K46)</f>
        <v>0</v>
      </c>
    </row>
    <row r="46" spans="1:11" s="4" customFormat="1" ht="23.25" customHeight="1" x14ac:dyDescent="0.25">
      <c r="A46" s="12"/>
      <c r="B46" s="33" t="s">
        <v>58</v>
      </c>
      <c r="C46" s="65" t="s">
        <v>48</v>
      </c>
      <c r="D46" s="65">
        <v>1000000</v>
      </c>
      <c r="E46" s="68"/>
      <c r="F46" s="68"/>
      <c r="G46" s="65">
        <f>D46</f>
        <v>1000000</v>
      </c>
      <c r="H46" s="66">
        <f t="shared" si="5"/>
        <v>1665.8170999456943</v>
      </c>
      <c r="I46" s="66">
        <f>H46</f>
        <v>1665.8170999456943</v>
      </c>
      <c r="J46" s="3"/>
      <c r="K46" s="2"/>
    </row>
    <row r="47" spans="1:11" s="4" customFormat="1" ht="23.25" customHeight="1" x14ac:dyDescent="0.25">
      <c r="A47" s="12"/>
      <c r="B47" s="33" t="s">
        <v>70</v>
      </c>
      <c r="C47" s="65">
        <v>9</v>
      </c>
      <c r="D47" s="65">
        <v>2500000</v>
      </c>
      <c r="E47" s="68"/>
      <c r="F47" s="68"/>
      <c r="G47" s="65">
        <f>C47*D47</f>
        <v>22500000</v>
      </c>
      <c r="H47" s="66">
        <f t="shared" si="5"/>
        <v>37480.884748778124</v>
      </c>
      <c r="I47" s="66">
        <f>H47</f>
        <v>37480.884748778124</v>
      </c>
      <c r="J47" s="3"/>
      <c r="K47" s="2"/>
    </row>
    <row r="48" spans="1:11" x14ac:dyDescent="0.35">
      <c r="A48" s="6">
        <v>5</v>
      </c>
      <c r="B48" s="7" t="s">
        <v>68</v>
      </c>
      <c r="C48" s="8"/>
      <c r="D48" s="8"/>
      <c r="E48" s="8"/>
      <c r="F48" s="8"/>
      <c r="G48" s="10">
        <f>G52+G51+G50+G49</f>
        <v>4125000</v>
      </c>
      <c r="H48" s="34">
        <f>+G48/$H$4</f>
        <v>6871.4955372759887</v>
      </c>
      <c r="I48" s="35"/>
      <c r="J48" s="34">
        <f>J52+J51+J50+J49</f>
        <v>6871.4955372759887</v>
      </c>
      <c r="K48" s="34"/>
    </row>
    <row r="49" spans="1:11" s="4" customFormat="1" ht="31.5" x14ac:dyDescent="0.25">
      <c r="A49" s="12"/>
      <c r="B49" s="33" t="s">
        <v>71</v>
      </c>
      <c r="C49" s="65">
        <v>1</v>
      </c>
      <c r="D49" s="65">
        <v>125000</v>
      </c>
      <c r="E49" s="65" t="s">
        <v>49</v>
      </c>
      <c r="F49" s="65">
        <v>10</v>
      </c>
      <c r="G49" s="65">
        <f>C49*D49*F49</f>
        <v>1250000</v>
      </c>
      <c r="H49" s="66">
        <f>+G49/$H$4</f>
        <v>2082.2713749321179</v>
      </c>
      <c r="I49" s="17"/>
      <c r="J49" s="66">
        <f t="shared" ref="J49:J52" si="7">H49</f>
        <v>2082.2713749321179</v>
      </c>
      <c r="K49" s="2"/>
    </row>
    <row r="50" spans="1:11" s="4" customFormat="1" ht="10.5" x14ac:dyDescent="0.25">
      <c r="A50" s="12"/>
      <c r="B50" s="13" t="s">
        <v>50</v>
      </c>
      <c r="C50" s="65">
        <v>1</v>
      </c>
      <c r="D50" s="65">
        <v>350000</v>
      </c>
      <c r="E50" s="65"/>
      <c r="F50" s="65"/>
      <c r="G50" s="65">
        <f>C50*D50</f>
        <v>350000</v>
      </c>
      <c r="H50" s="66">
        <f t="shared" ref="H50:H57" si="8">+G50/$H$4</f>
        <v>583.03598498099302</v>
      </c>
      <c r="I50" s="17"/>
      <c r="J50" s="66">
        <f t="shared" si="7"/>
        <v>583.03598498099302</v>
      </c>
      <c r="K50" s="2"/>
    </row>
    <row r="51" spans="1:11" x14ac:dyDescent="0.35">
      <c r="A51" s="12"/>
      <c r="B51" s="13" t="s">
        <v>51</v>
      </c>
      <c r="C51" s="65">
        <v>1</v>
      </c>
      <c r="D51" s="65">
        <v>125000</v>
      </c>
      <c r="E51" s="65" t="s">
        <v>13</v>
      </c>
      <c r="F51" s="65">
        <v>15</v>
      </c>
      <c r="G51" s="65">
        <f>C51*D51*F51</f>
        <v>1875000</v>
      </c>
      <c r="H51" s="66">
        <f t="shared" si="8"/>
        <v>3123.4070623981765</v>
      </c>
      <c r="I51" s="2"/>
      <c r="J51" s="66">
        <f t="shared" si="7"/>
        <v>3123.4070623981765</v>
      </c>
      <c r="K51" s="57"/>
    </row>
    <row r="52" spans="1:11" s="4" customFormat="1" ht="10.5" x14ac:dyDescent="0.25">
      <c r="A52" s="12"/>
      <c r="B52" s="13" t="s">
        <v>52</v>
      </c>
      <c r="C52" s="65">
        <v>1</v>
      </c>
      <c r="D52" s="65">
        <v>650000</v>
      </c>
      <c r="E52" s="65"/>
      <c r="F52" s="65"/>
      <c r="G52" s="65">
        <f>C52*D52</f>
        <v>650000</v>
      </c>
      <c r="H52" s="66">
        <f t="shared" si="8"/>
        <v>1082.7811149647014</v>
      </c>
      <c r="I52" s="2"/>
      <c r="J52" s="66">
        <f t="shared" si="7"/>
        <v>1082.7811149647014</v>
      </c>
      <c r="K52" s="2"/>
    </row>
    <row r="53" spans="1:11" s="4" customFormat="1" ht="10.5" x14ac:dyDescent="0.25">
      <c r="A53" s="6">
        <v>6</v>
      </c>
      <c r="B53" s="7" t="s">
        <v>53</v>
      </c>
      <c r="C53" s="8"/>
      <c r="D53" s="9"/>
      <c r="E53" s="8"/>
      <c r="F53" s="8"/>
      <c r="G53" s="10">
        <f>SUM(G54:G57)</f>
        <v>1600000</v>
      </c>
      <c r="H53" s="21">
        <f>+G53/$H$4</f>
        <v>2665.3073599131108</v>
      </c>
      <c r="I53" s="21">
        <f>H53</f>
        <v>2665.3073599131108</v>
      </c>
      <c r="J53" s="36"/>
      <c r="K53" s="36"/>
    </row>
    <row r="54" spans="1:11" s="4" customFormat="1" ht="10.5" x14ac:dyDescent="0.25">
      <c r="A54" s="12"/>
      <c r="B54" s="13" t="s">
        <v>54</v>
      </c>
      <c r="C54" s="65">
        <v>50</v>
      </c>
      <c r="D54" s="65">
        <v>6000</v>
      </c>
      <c r="E54" s="65" t="s">
        <v>13</v>
      </c>
      <c r="F54" s="65">
        <v>1</v>
      </c>
      <c r="G54" s="65">
        <f>+C54*D54*F54</f>
        <v>300000</v>
      </c>
      <c r="H54" s="66">
        <f t="shared" si="8"/>
        <v>499.7451299837083</v>
      </c>
      <c r="I54" s="66">
        <f>H54</f>
        <v>499.7451299837083</v>
      </c>
      <c r="J54" s="3"/>
      <c r="K54" s="2"/>
    </row>
    <row r="55" spans="1:11" s="4" customFormat="1" ht="10.5" x14ac:dyDescent="0.25">
      <c r="A55" s="12"/>
      <c r="B55" s="13" t="s">
        <v>64</v>
      </c>
      <c r="C55" s="65">
        <v>50</v>
      </c>
      <c r="D55" s="65">
        <v>17000</v>
      </c>
      <c r="E55" s="65" t="s">
        <v>13</v>
      </c>
      <c r="F55" s="65">
        <v>1</v>
      </c>
      <c r="G55" s="65">
        <f>+C55*D55*F55</f>
        <v>850000</v>
      </c>
      <c r="H55" s="66">
        <f t="shared" si="8"/>
        <v>1415.94453495384</v>
      </c>
      <c r="I55" s="66">
        <f>H55</f>
        <v>1415.94453495384</v>
      </c>
      <c r="J55" s="3"/>
      <c r="K55" s="2"/>
    </row>
    <row r="56" spans="1:11" s="4" customFormat="1" ht="10.5" x14ac:dyDescent="0.25">
      <c r="A56" s="12"/>
      <c r="B56" s="13" t="s">
        <v>55</v>
      </c>
      <c r="C56" s="65">
        <v>1</v>
      </c>
      <c r="D56" s="65">
        <v>350000</v>
      </c>
      <c r="E56" s="65" t="s">
        <v>13</v>
      </c>
      <c r="F56" s="65">
        <v>1</v>
      </c>
      <c r="G56" s="65">
        <f>+C56*D56*F56</f>
        <v>350000</v>
      </c>
      <c r="H56" s="66">
        <f t="shared" si="8"/>
        <v>583.03598498099302</v>
      </c>
      <c r="I56" s="66">
        <f>H56</f>
        <v>583.03598498099302</v>
      </c>
      <c r="J56" s="3"/>
      <c r="K56" s="2"/>
    </row>
    <row r="57" spans="1:11" s="4" customFormat="1" ht="10.5" x14ac:dyDescent="0.25">
      <c r="A57" s="12"/>
      <c r="B57" s="13" t="s">
        <v>56</v>
      </c>
      <c r="C57" s="65">
        <v>5</v>
      </c>
      <c r="D57" s="65">
        <v>20000</v>
      </c>
      <c r="E57" s="65" t="s">
        <v>13</v>
      </c>
      <c r="F57" s="65">
        <v>1</v>
      </c>
      <c r="G57" s="65">
        <f>+C57*D57*F57</f>
        <v>100000</v>
      </c>
      <c r="H57" s="66">
        <f t="shared" si="8"/>
        <v>166.58170999456942</v>
      </c>
      <c r="I57" s="66">
        <f>H57</f>
        <v>166.58170999456942</v>
      </c>
      <c r="J57" s="3"/>
      <c r="K57" s="2"/>
    </row>
    <row r="58" spans="1:11" s="4" customFormat="1" ht="10.5" x14ac:dyDescent="0.25">
      <c r="A58" s="6" t="s">
        <v>59</v>
      </c>
      <c r="B58" s="7" t="s">
        <v>61</v>
      </c>
      <c r="C58" s="8"/>
      <c r="D58" s="9"/>
      <c r="E58" s="8"/>
      <c r="F58" s="8"/>
      <c r="G58" s="10">
        <f>G7+G16+G33+G45+G48+G53</f>
        <v>53867800</v>
      </c>
      <c r="H58" s="21">
        <f>H7+H16+H33+H45+H53+H48</f>
        <v>89733.902376454673</v>
      </c>
      <c r="I58" s="21">
        <f>I53+I48+I45++I33+I16+I7</f>
        <v>82862.406839178686</v>
      </c>
      <c r="J58" s="36">
        <f>J48</f>
        <v>6871.4955372759887</v>
      </c>
      <c r="K58" s="36"/>
    </row>
    <row r="59" spans="1:11" s="4" customFormat="1" ht="10.5" x14ac:dyDescent="0.25">
      <c r="A59" s="6" t="s">
        <v>60</v>
      </c>
      <c r="B59" s="7" t="s">
        <v>63</v>
      </c>
      <c r="C59" s="8"/>
      <c r="D59" s="9"/>
      <c r="E59" s="8"/>
      <c r="F59" s="8"/>
      <c r="G59" s="10">
        <f>G58/10</f>
        <v>5386780</v>
      </c>
      <c r="H59" s="21">
        <f>+G59/$H$4</f>
        <v>8973.3902376454662</v>
      </c>
      <c r="I59" s="21">
        <f>H59</f>
        <v>8973.3902376454662</v>
      </c>
      <c r="J59" s="36"/>
      <c r="K59" s="36"/>
    </row>
    <row r="60" spans="1:11" ht="15" thickBot="1" x14ac:dyDescent="0.4">
      <c r="A60" s="37"/>
      <c r="B60" s="38" t="s">
        <v>62</v>
      </c>
      <c r="C60" s="39"/>
      <c r="D60" s="40"/>
      <c r="E60" s="39"/>
      <c r="F60" s="39"/>
      <c r="G60" s="41">
        <f>G58+G59</f>
        <v>59254580</v>
      </c>
      <c r="H60" s="53">
        <f>H58+H59</f>
        <v>98707.292614100137</v>
      </c>
      <c r="I60" s="53">
        <f>I58+I59</f>
        <v>91835.79707682415</v>
      </c>
      <c r="J60" s="56">
        <f>J48</f>
        <v>6871.4955372759887</v>
      </c>
      <c r="K60" s="56"/>
    </row>
    <row r="61" spans="1:11" x14ac:dyDescent="0.35">
      <c r="A61" s="43"/>
      <c r="B61" s="44"/>
      <c r="C61" s="44"/>
      <c r="D61" s="44"/>
      <c r="E61" s="44"/>
      <c r="F61" s="44"/>
      <c r="G61" s="44"/>
      <c r="H61" s="42"/>
    </row>
    <row r="62" spans="1:11" ht="16.5" customHeight="1" x14ac:dyDescent="0.35">
      <c r="A62" s="43"/>
      <c r="B62" s="62" t="s">
        <v>73</v>
      </c>
      <c r="C62" s="62" t="s">
        <v>77</v>
      </c>
      <c r="D62" s="58"/>
      <c r="E62" s="51"/>
      <c r="F62" t="s">
        <v>78</v>
      </c>
    </row>
    <row r="63" spans="1:11" ht="16.5" customHeight="1" x14ac:dyDescent="0.4">
      <c r="A63" s="43"/>
      <c r="B63" s="60" t="s">
        <v>74</v>
      </c>
      <c r="C63" s="61"/>
      <c r="E63" s="51"/>
      <c r="F63" s="198" t="s">
        <v>79</v>
      </c>
      <c r="G63" s="199"/>
      <c r="H63" s="200"/>
      <c r="I63" s="59">
        <f>I60</f>
        <v>91835.79707682415</v>
      </c>
      <c r="J63" s="52"/>
    </row>
    <row r="64" spans="1:11" ht="16.5" customHeight="1" x14ac:dyDescent="0.4">
      <c r="A64" s="43"/>
      <c r="B64" s="60" t="s">
        <v>75</v>
      </c>
      <c r="C64" s="61"/>
      <c r="E64" s="44"/>
      <c r="F64" s="198" t="s">
        <v>80</v>
      </c>
      <c r="G64" s="199"/>
      <c r="H64" s="200"/>
      <c r="I64" s="59">
        <f>J60</f>
        <v>6871.4955372759887</v>
      </c>
      <c r="J64" s="52"/>
    </row>
    <row r="65" spans="1:10" ht="16.5" customHeight="1" x14ac:dyDescent="0.4">
      <c r="A65" s="43"/>
      <c r="B65" s="63" t="s">
        <v>76</v>
      </c>
      <c r="C65" s="64"/>
      <c r="F65" s="198" t="s">
        <v>57</v>
      </c>
      <c r="G65" s="199"/>
      <c r="H65" s="200"/>
      <c r="I65" s="50">
        <f>I63+I64</f>
        <v>98707.292614100137</v>
      </c>
    </row>
    <row r="67" spans="1:10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7.5" x14ac:dyDescent="0.55000000000000004">
      <c r="A68" s="4"/>
      <c r="B68" s="45"/>
      <c r="C68" s="4"/>
      <c r="D68" s="4"/>
      <c r="E68" s="4"/>
      <c r="F68" s="4"/>
      <c r="G68" s="4"/>
      <c r="H68" s="4"/>
      <c r="I68" s="46"/>
      <c r="J68" s="4"/>
    </row>
    <row r="69" spans="1:10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</row>
    <row r="80" spans="1:10" x14ac:dyDescent="0.35">
      <c r="A80" s="47"/>
      <c r="B80" s="48"/>
      <c r="C80" s="48"/>
      <c r="D80" s="48"/>
      <c r="E80" s="48"/>
      <c r="F80" s="48"/>
      <c r="G80" s="48"/>
      <c r="H80" s="1"/>
    </row>
  </sheetData>
  <mergeCells count="16">
    <mergeCell ref="F63:H63"/>
    <mergeCell ref="F64:H64"/>
    <mergeCell ref="F65:H65"/>
    <mergeCell ref="A1:B3"/>
    <mergeCell ref="C4:G4"/>
    <mergeCell ref="C1:K3"/>
    <mergeCell ref="K4:K6"/>
    <mergeCell ref="I4:I6"/>
    <mergeCell ref="J4:J6"/>
    <mergeCell ref="A5:A6"/>
    <mergeCell ref="B5:B6"/>
    <mergeCell ref="C5:C6"/>
    <mergeCell ref="D5:D6"/>
    <mergeCell ref="E5:F5"/>
    <mergeCell ref="G5:G6"/>
    <mergeCell ref="H5:H6"/>
  </mergeCells>
  <pageMargins left="0.7" right="0.7" top="0.75" bottom="0.75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selection activeCell="C18" sqref="C18"/>
    </sheetView>
  </sheetViews>
  <sheetFormatPr defaultColWidth="11.453125" defaultRowHeight="14.5" x14ac:dyDescent="0.35"/>
  <cols>
    <col min="1" max="6" width="20.54296875" customWidth="1"/>
  </cols>
  <sheetData>
    <row r="1" spans="1:9" x14ac:dyDescent="0.35">
      <c r="A1" s="225" t="s">
        <v>82</v>
      </c>
      <c r="B1" s="225"/>
      <c r="C1" s="225"/>
      <c r="D1" s="69"/>
      <c r="E1" s="69"/>
      <c r="F1" s="69"/>
    </row>
    <row r="3" spans="1:9" ht="29" x14ac:dyDescent="0.35">
      <c r="A3" s="70"/>
      <c r="B3" s="70" t="s">
        <v>83</v>
      </c>
      <c r="C3" s="70" t="s">
        <v>84</v>
      </c>
      <c r="D3" s="70" t="s">
        <v>85</v>
      </c>
      <c r="E3" s="70" t="s">
        <v>86</v>
      </c>
      <c r="F3" s="71" t="s">
        <v>87</v>
      </c>
      <c r="H3" t="s">
        <v>88</v>
      </c>
      <c r="I3" s="72" t="s">
        <v>89</v>
      </c>
    </row>
    <row r="4" spans="1:9" x14ac:dyDescent="0.35">
      <c r="A4" s="73" t="s">
        <v>90</v>
      </c>
      <c r="B4" s="73">
        <v>68</v>
      </c>
      <c r="C4" s="73">
        <v>4</v>
      </c>
      <c r="D4" s="73">
        <f>B4*C4</f>
        <v>272</v>
      </c>
      <c r="E4" s="73">
        <v>2737</v>
      </c>
      <c r="F4" s="74">
        <f>E4/D4+3</f>
        <v>13.0625</v>
      </c>
      <c r="H4" t="s">
        <v>91</v>
      </c>
      <c r="I4">
        <v>24</v>
      </c>
    </row>
    <row r="5" spans="1:9" x14ac:dyDescent="0.35">
      <c r="A5" s="73" t="s">
        <v>92</v>
      </c>
      <c r="B5" s="73">
        <v>68</v>
      </c>
      <c r="C5" s="73">
        <v>6</v>
      </c>
      <c r="D5" s="73">
        <f>B5*C5</f>
        <v>408</v>
      </c>
      <c r="E5" s="73">
        <v>2737</v>
      </c>
      <c r="F5" s="74">
        <f>E5/D5+3</f>
        <v>9.7083333333333321</v>
      </c>
      <c r="H5" t="s">
        <v>93</v>
      </c>
      <c r="I5">
        <v>8</v>
      </c>
    </row>
    <row r="6" spans="1:9" x14ac:dyDescent="0.35">
      <c r="H6" t="s">
        <v>94</v>
      </c>
      <c r="I6">
        <v>8</v>
      </c>
    </row>
    <row r="7" spans="1:9" x14ac:dyDescent="0.35">
      <c r="H7" t="s">
        <v>95</v>
      </c>
      <c r="I7">
        <v>12</v>
      </c>
    </row>
    <row r="8" spans="1:9" x14ac:dyDescent="0.35">
      <c r="H8" t="s">
        <v>96</v>
      </c>
      <c r="I8">
        <v>8</v>
      </c>
    </row>
    <row r="9" spans="1:9" ht="15" thickBot="1" x14ac:dyDescent="0.4">
      <c r="H9" t="s">
        <v>97</v>
      </c>
      <c r="I9">
        <v>8</v>
      </c>
    </row>
    <row r="10" spans="1:9" ht="19" thickBot="1" x14ac:dyDescent="0.5">
      <c r="A10" s="75" t="s">
        <v>98</v>
      </c>
      <c r="B10" s="76"/>
      <c r="C10" s="76"/>
      <c r="D10" s="76"/>
      <c r="E10" s="76"/>
      <c r="F10" s="77"/>
      <c r="H10" s="78" t="s">
        <v>99</v>
      </c>
      <c r="I10" s="78">
        <f>SUM(I4:I9)</f>
        <v>68</v>
      </c>
    </row>
  </sheetData>
  <mergeCells count="1">
    <mergeCell ref="A1:C1"/>
  </mergeCells>
  <pageMargins left="0.7" right="0.7" top="0.75" bottom="0.75" header="0.3" footer="0.3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E71A8E8-7BE8-4B79-93A2-25309205BB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39037B-CFBF-48C9-AFE1-30602D1944A6}"/>
</file>

<file path=customXml/itemProps3.xml><?xml version="1.0" encoding="utf-8"?>
<ds:datastoreItem xmlns:ds="http://schemas.openxmlformats.org/officeDocument/2006/customXml" ds:itemID="{1E0405AF-253B-4619-AF93-8B998ABB2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Face 2 Face</vt:lpstr>
      <vt:lpstr>Remote</vt:lpstr>
      <vt:lpstr>Budget EFSA 2015</vt:lpstr>
      <vt:lpstr>scenarii</vt:lpstr>
      <vt:lpstr>'Face 2 Face'!Print_Area</vt:lpstr>
      <vt:lpstr>Remote!Print_Area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DMudilo</dc:creator>
  <cp:lastModifiedBy>Alirah WEYORI</cp:lastModifiedBy>
  <cp:lastPrinted>2018-09-10T13:46:29Z</cp:lastPrinted>
  <dcterms:created xsi:type="dcterms:W3CDTF">2014-07-25T13:43:22Z</dcterms:created>
  <dcterms:modified xsi:type="dcterms:W3CDTF">2023-05-12T13:47:15Z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