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oukou.garba\Desktop\"/>
    </mc:Choice>
  </mc:AlternateContent>
  <xr:revisionPtr revIDLastSave="133" documentId="13_ncr:1_{24246872-9A64-46FE-BED7-5B7E7455F6B7}" xr6:coauthVersionLast="47" xr6:coauthVersionMax="47" xr10:uidLastSave="{C9B2653E-0C99-4D7D-9ABE-7BF5483B77BC}"/>
  <bookViews>
    <workbookView xWindow="-120" yWindow="-120" windowWidth="29040" windowHeight="15840" xr2:uid="{BBB588FB-9F36-4EE5-A217-048BFEA14569}"/>
  </bookViews>
  <sheets>
    <sheet name="Planning rCARI " sheetId="1" r:id="rId1"/>
    <sheet name="Budget of rCAR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4" i="2"/>
  <c r="F2" i="2"/>
  <c r="G2" i="2" s="1"/>
  <c r="F22" i="2"/>
  <c r="G22" i="2" s="1"/>
  <c r="C20" i="2"/>
  <c r="F20" i="2" s="1"/>
  <c r="G20" i="2" s="1"/>
  <c r="C19" i="2"/>
  <c r="F19" i="2" s="1"/>
  <c r="G19" i="2" s="1"/>
  <c r="C17" i="2"/>
  <c r="F17" i="2" s="1"/>
  <c r="G17" i="2" s="1"/>
  <c r="C10" i="2"/>
  <c r="C9" i="2"/>
  <c r="F9" i="2" s="1"/>
  <c r="G9" i="2" s="1"/>
  <c r="C8" i="2"/>
  <c r="F8" i="2" s="1"/>
  <c r="G8" i="2" s="1"/>
  <c r="C13" i="2"/>
  <c r="F13" i="2" s="1"/>
  <c r="G13" i="2" s="1"/>
  <c r="C12" i="2"/>
  <c r="F12" i="2" s="1"/>
  <c r="G12" i="2" s="1"/>
  <c r="C7" i="2"/>
  <c r="F7" i="2" s="1"/>
  <c r="G7" i="2" s="1"/>
  <c r="G5" i="2"/>
  <c r="G4" i="2"/>
  <c r="F18" i="2"/>
  <c r="G18" i="2" s="1"/>
  <c r="F3" i="2"/>
  <c r="F10" i="2"/>
  <c r="G10" i="2" s="1"/>
  <c r="F15" i="2"/>
  <c r="G15" i="2" s="1"/>
  <c r="F6" i="2"/>
  <c r="G6" i="2" s="1"/>
  <c r="F23" i="2" l="1"/>
  <c r="G3" i="2"/>
  <c r="G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tc={018FB36E-5B54-4B51-BC51-5FAFC0977BA3}</author>
  </authors>
  <commentList>
    <comment ref="A5" authorId="0" shapeId="0" xr:uid="{018FB36E-5B54-4B51-BC51-5FAFC0977BA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contextualisation of the census questionnaire</t>
      </text>
    </comment>
  </commentList>
</comments>
</file>

<file path=xl/sharedStrings.xml><?xml version="1.0" encoding="utf-8"?>
<sst xmlns="http://schemas.openxmlformats.org/spreadsheetml/2006/main" count="104" uniqueCount="82">
  <si>
    <t>Activity</t>
  </si>
  <si>
    <t>Number of days</t>
  </si>
  <si>
    <t>July</t>
  </si>
  <si>
    <t>August</t>
  </si>
  <si>
    <t>Deadline/status</t>
  </si>
  <si>
    <t>Responsible</t>
  </si>
  <si>
    <t>Commentaires</t>
  </si>
  <si>
    <t>Village sampling (Admin 5)</t>
  </si>
  <si>
    <t>-</t>
  </si>
  <si>
    <t>Done</t>
  </si>
  <si>
    <t>CO(KABRE Moumouni)</t>
  </si>
  <si>
    <t>Recruitment of interviewers (TPM)</t>
  </si>
  <si>
    <t>Design of census questionnaire</t>
  </si>
  <si>
    <t>CO(Moro DABRE, KABRE Moumouni)</t>
  </si>
  <si>
    <t xml:space="preserve">deja developpe par Alirah - il va le partager avec vous </t>
  </si>
  <si>
    <t>Briefing of enumerators</t>
  </si>
  <si>
    <t>CO(KABRE Moumouni, Faroukou GARBA)</t>
  </si>
  <si>
    <t>a voir les dates en generale - est-ce qu'ils sont correctes?</t>
  </si>
  <si>
    <t>Data collection for household census</t>
  </si>
  <si>
    <t>Enquêteurs (TPM)</t>
  </si>
  <si>
    <t>Processing and cleaning of census data</t>
  </si>
  <si>
    <t xml:space="preserve">Sampling at Household level </t>
  </si>
  <si>
    <t>le role d'Alirah</t>
  </si>
  <si>
    <t xml:space="preserve">Training of staff (TPM et Call Center) </t>
  </si>
  <si>
    <t>Faroukou and Alirah</t>
  </si>
  <si>
    <t xml:space="preserve">4 jours de formation - et 2 a part - un pour le parti F2F &amp; un pour le parti remote; CARE - gender assessment </t>
  </si>
  <si>
    <t xml:space="preserve">Field data collect for rCARI </t>
  </si>
  <si>
    <t xml:space="preserve">Call Center and TPM </t>
  </si>
  <si>
    <t xml:space="preserve">Data processing </t>
  </si>
  <si>
    <t>le role du siege</t>
  </si>
  <si>
    <t>rCARI data collection workshop</t>
  </si>
  <si>
    <t>WFP , Call Center , TPM</t>
  </si>
  <si>
    <t>pourquoi?</t>
  </si>
  <si>
    <t xml:space="preserve">Data analysis </t>
  </si>
  <si>
    <t xml:space="preserve">Reporting </t>
  </si>
  <si>
    <t xml:space="preserve">Sharing report/dissimination </t>
  </si>
  <si>
    <t>CO and HQ</t>
  </si>
  <si>
    <t xml:space="preserve">Gender from CO Burkina Faso </t>
  </si>
  <si>
    <t>Si oui, on va partager l'info (villages, timeline)</t>
  </si>
  <si>
    <t xml:space="preserve">MOU - TPM National NGO - F2F </t>
  </si>
  <si>
    <t>Call Center ADECONTACT? - remote (since 2020) - CFM, mVAM, FSOM, mPDMs - recording &amp; transcription</t>
  </si>
  <si>
    <t xml:space="preserve">Activités </t>
  </si>
  <si>
    <t xml:space="preserve">Unités </t>
  </si>
  <si>
    <t xml:space="preserve">Quantité </t>
  </si>
  <si>
    <t>Jours/unites</t>
  </si>
  <si>
    <t>PU</t>
  </si>
  <si>
    <t>Montant</t>
  </si>
  <si>
    <t>Amount in USD</t>
  </si>
  <si>
    <t xml:space="preserve">Listing </t>
  </si>
  <si>
    <t xml:space="preserve">Brefing sur la technique de recensement des ménages </t>
  </si>
  <si>
    <t xml:space="preserve">Pause café </t>
  </si>
  <si>
    <t xml:space="preserve">Contrat ONG (le meme pour le F2F) pour le recensement </t>
  </si>
  <si>
    <t>H/J</t>
  </si>
  <si>
    <t xml:space="preserve">nous ne payons pas strictement pour les contrats non? nous payons pour les activites et puis 7%? 10 enqueteurs, 7 jours; 
montant a revoir... (70000 -&gt; ou 60000) </t>
  </si>
  <si>
    <t xml:space="preserve">Location Motos et carburant </t>
  </si>
  <si>
    <t>Jours  de location</t>
  </si>
  <si>
    <t>70 enqueteurs? 70 jours?</t>
  </si>
  <si>
    <t>Formation technique sur rCARI</t>
  </si>
  <si>
    <t xml:space="preserve">2 formations 1) remote, 2) F2F - il faut inclure:  d'eau, location salle, transport pour le pre-test, fournitures et equipements - separate budgets - </t>
  </si>
  <si>
    <t xml:space="preserve">Perdiem participants </t>
  </si>
  <si>
    <t xml:space="preserve">Transports participants </t>
  </si>
  <si>
    <t>Transports</t>
  </si>
  <si>
    <t xml:space="preserve">Pause </t>
  </si>
  <si>
    <t xml:space="preserve">Pause dejeuner </t>
  </si>
  <si>
    <t xml:space="preserve">Dejeuner </t>
  </si>
  <si>
    <t xml:space="preserve">Collecte des données en Face à face </t>
  </si>
  <si>
    <t xml:space="preserve">veuillez fournir le budget dans 2 onglets: 1) remote, 2) F2F </t>
  </si>
  <si>
    <t>Collecte des données rCARI</t>
  </si>
  <si>
    <t>combien des enqueteurs, superviseurs? 
frais de communication? montant a revoir... (70000 -&gt; ou 60000) ; il faut voir le numero des enqueteurs et les jours necessaires</t>
  </si>
  <si>
    <t xml:space="preserve">Jours </t>
  </si>
  <si>
    <t xml:space="preserve">Collecte des données par téléphone </t>
  </si>
  <si>
    <t>Collecte des données RCARI avec call center</t>
  </si>
  <si>
    <t xml:space="preserve">Fiches </t>
  </si>
  <si>
    <t xml:space="preserve">il faut disaggrege: par paiements aux enqueuteurs (combien par personne), ajouter une superviseur pour le remote </t>
  </si>
  <si>
    <t xml:space="preserve">Atelier de capitalisation sur les données </t>
  </si>
  <si>
    <t>enumerators (a travers les superviseurs doivent partager les lecons apprises chaque semaine) - ou en ligne?</t>
  </si>
  <si>
    <t xml:space="preserve">Achat de smartphone complémentaire </t>
  </si>
  <si>
    <t xml:space="preserve">Achat local de smartphone </t>
  </si>
  <si>
    <t xml:space="preserve">unité </t>
  </si>
  <si>
    <t>10 unites? pour USD 4000?- confirmed the smartphones (20 enumerators - smartphones may not be enough - 10 to be purchased)</t>
  </si>
  <si>
    <t xml:space="preserve">Total </t>
  </si>
  <si>
    <t>est-ce qu'on peut ventiller enumerators et jours?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</si>
</sst>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\ _€_-;_-@_-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/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14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164" fontId="1" fillId="5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0" fillId="0" borderId="1" xfId="0" applyNumberFormat="1" applyBorder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3" borderId="1" xfId="0" applyFont="1" applyFill="1" applyBorder="1" applyAlignment="1">
      <alignment wrapText="1"/>
    </xf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1" xfId="0" applyBorder="1"/>
    <xf numFmtId="164" fontId="1" fillId="0" borderId="1" xfId="0" applyNumberFormat="1" applyFont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0" fontId="6" fillId="3" borderId="1" xfId="0" applyFont="1" applyFill="1" applyBorder="1" applyAlignment="1">
      <alignment wrapText="1"/>
    </xf>
    <xf numFmtId="0" fontId="7" fillId="3" borderId="1" xfId="0" applyFont="1" applyFill="1" applyBorder="1"/>
    <xf numFmtId="164" fontId="6" fillId="3" borderId="1" xfId="0" applyNumberFormat="1" applyFont="1" applyFill="1" applyBorder="1"/>
    <xf numFmtId="0" fontId="7" fillId="5" borderId="1" xfId="0" applyFont="1" applyFill="1" applyBorder="1"/>
    <xf numFmtId="0" fontId="7" fillId="0" borderId="0" xfId="0" applyFont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164" fontId="6" fillId="0" borderId="1" xfId="0" applyNumberFormat="1" applyFont="1" applyBorder="1"/>
    <xf numFmtId="164" fontId="7" fillId="0" borderId="1" xfId="0" applyNumberFormat="1" applyFont="1" applyBorder="1"/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vertical="center" wrapText="1"/>
    </xf>
    <xf numFmtId="0" fontId="1" fillId="5" borderId="1" xfId="0" applyFont="1" applyFill="1" applyBorder="1"/>
    <xf numFmtId="0" fontId="2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7" fillId="5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164" fontId="5" fillId="0" borderId="1" xfId="0" applyNumberFormat="1" applyFont="1" applyBorder="1"/>
    <xf numFmtId="0" fontId="5" fillId="5" borderId="1" xfId="0" applyFont="1" applyFill="1" applyBorder="1" applyAlignment="1">
      <alignment wrapText="1"/>
    </xf>
    <xf numFmtId="0" fontId="5" fillId="0" borderId="0" xfId="0" applyFont="1"/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ssandra WALKER" id="{17924EB4-7AE2-47D8-A467-FDDE3E2D6EF5}" userId="S::cassandra.walker@wfp.org::7d551a76-2a3b-46ce-9612-27f9694a038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3-07-11T14:44:11.06" personId="{17924EB4-7AE2-47D8-A467-FDDE3E2D6EF5}" id="{018FB36E-5B54-4B51-BC51-5FAFC0977BA3}">
    <text>contextualisation of the census questionnaire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5B31-6B46-47B2-9A97-2F670FEB3E02}">
  <dimension ref="A1:M23"/>
  <sheetViews>
    <sheetView tabSelected="1" workbookViewId="0">
      <selection activeCell="M6" sqref="M6"/>
    </sheetView>
  </sheetViews>
  <sheetFormatPr defaultColWidth="11.42578125" defaultRowHeight="15"/>
  <cols>
    <col min="1" max="1" width="43.85546875" customWidth="1"/>
    <col min="2" max="2" width="20.5703125" customWidth="1"/>
    <col min="3" max="10" width="6.140625" customWidth="1"/>
    <col min="11" max="11" width="21" style="1" customWidth="1"/>
    <col min="12" max="12" width="36.7109375" customWidth="1"/>
    <col min="13" max="13" width="78.7109375" style="58" customWidth="1"/>
  </cols>
  <sheetData>
    <row r="1" spans="1:13" ht="21" customHeight="1">
      <c r="A1" s="49" t="s">
        <v>0</v>
      </c>
      <c r="B1" s="50" t="s">
        <v>1</v>
      </c>
      <c r="C1" s="48" t="s">
        <v>2</v>
      </c>
      <c r="D1" s="48"/>
      <c r="E1" s="48"/>
      <c r="F1" s="48"/>
      <c r="G1" s="48" t="s">
        <v>3</v>
      </c>
      <c r="H1" s="48"/>
      <c r="I1" s="48"/>
      <c r="J1" s="48"/>
      <c r="K1" s="47" t="s">
        <v>4</v>
      </c>
      <c r="L1" s="47" t="s">
        <v>5</v>
      </c>
      <c r="M1" s="65" t="s">
        <v>6</v>
      </c>
    </row>
    <row r="2" spans="1:13" ht="21" customHeight="1">
      <c r="A2" s="49"/>
      <c r="B2" s="50"/>
      <c r="C2" s="3">
        <v>1</v>
      </c>
      <c r="D2" s="3">
        <v>2</v>
      </c>
      <c r="E2" s="3">
        <v>3</v>
      </c>
      <c r="F2" s="3">
        <v>4</v>
      </c>
      <c r="G2" s="3">
        <v>1</v>
      </c>
      <c r="H2" s="3">
        <v>2</v>
      </c>
      <c r="I2" s="3">
        <v>3</v>
      </c>
      <c r="J2" s="3">
        <v>4</v>
      </c>
      <c r="K2" s="47"/>
      <c r="L2" s="47"/>
      <c r="M2" s="65"/>
    </row>
    <row r="3" spans="1:13" ht="29.25" customHeight="1">
      <c r="A3" s="4" t="s">
        <v>7</v>
      </c>
      <c r="B3" s="5" t="s">
        <v>8</v>
      </c>
      <c r="C3" s="6"/>
      <c r="D3" s="5"/>
      <c r="E3" s="5"/>
      <c r="F3" s="5"/>
      <c r="G3" s="5"/>
      <c r="H3" s="5"/>
      <c r="I3" s="5"/>
      <c r="J3" s="5"/>
      <c r="K3" s="5" t="s">
        <v>9</v>
      </c>
      <c r="L3" s="4" t="s">
        <v>10</v>
      </c>
      <c r="M3" s="51"/>
    </row>
    <row r="4" spans="1:13" ht="29.25" customHeight="1">
      <c r="A4" s="4" t="s">
        <v>11</v>
      </c>
      <c r="B4" s="5">
        <v>3</v>
      </c>
      <c r="C4" s="6"/>
      <c r="D4" s="6"/>
      <c r="E4" s="5"/>
      <c r="F4" s="5"/>
      <c r="G4" s="5"/>
      <c r="H4" s="5"/>
      <c r="I4" s="5"/>
      <c r="J4" s="5"/>
      <c r="K4" s="8">
        <v>45114</v>
      </c>
      <c r="L4" s="4" t="s">
        <v>10</v>
      </c>
      <c r="M4" s="51"/>
    </row>
    <row r="5" spans="1:13" ht="33" customHeight="1">
      <c r="A5" s="4" t="s">
        <v>12</v>
      </c>
      <c r="B5" s="5">
        <v>3</v>
      </c>
      <c r="C5" s="5"/>
      <c r="D5" s="6"/>
      <c r="E5" s="5"/>
      <c r="F5" s="5"/>
      <c r="G5" s="5"/>
      <c r="H5" s="5"/>
      <c r="I5" s="5"/>
      <c r="J5" s="5"/>
      <c r="K5" s="8">
        <v>45114</v>
      </c>
      <c r="L5" s="4" t="s">
        <v>13</v>
      </c>
      <c r="M5" s="51" t="s">
        <v>14</v>
      </c>
    </row>
    <row r="6" spans="1:13" ht="29.25" customHeight="1">
      <c r="A6" s="4" t="s">
        <v>15</v>
      </c>
      <c r="B6" s="5">
        <v>1</v>
      </c>
      <c r="C6" s="5"/>
      <c r="D6" s="6"/>
      <c r="E6" s="5"/>
      <c r="F6" s="5"/>
      <c r="G6" s="5"/>
      <c r="H6" s="5"/>
      <c r="I6" s="5"/>
      <c r="J6" s="5"/>
      <c r="K6" s="8">
        <v>45114</v>
      </c>
      <c r="L6" s="4" t="s">
        <v>16</v>
      </c>
      <c r="M6" s="51" t="s">
        <v>17</v>
      </c>
    </row>
    <row r="7" spans="1:13" ht="29.25" customHeight="1">
      <c r="A7" s="4" t="s">
        <v>18</v>
      </c>
      <c r="B7" s="5">
        <v>5</v>
      </c>
      <c r="C7" s="5"/>
      <c r="D7" s="6"/>
      <c r="E7" s="6"/>
      <c r="F7" s="5"/>
      <c r="G7" s="5"/>
      <c r="H7" s="5"/>
      <c r="I7" s="5"/>
      <c r="J7" s="5"/>
      <c r="K7" s="8">
        <v>45122</v>
      </c>
      <c r="L7" s="4" t="s">
        <v>19</v>
      </c>
      <c r="M7" s="51"/>
    </row>
    <row r="8" spans="1:13" ht="29.25" customHeight="1">
      <c r="A8" s="4" t="s">
        <v>20</v>
      </c>
      <c r="B8" s="5">
        <v>2</v>
      </c>
      <c r="C8" s="5"/>
      <c r="D8" s="5"/>
      <c r="E8" s="6"/>
      <c r="F8" s="5"/>
      <c r="G8" s="5"/>
      <c r="H8" s="5"/>
      <c r="I8" s="5"/>
      <c r="J8" s="5"/>
      <c r="K8" s="8">
        <v>45125</v>
      </c>
      <c r="L8" s="4" t="s">
        <v>10</v>
      </c>
      <c r="M8" s="51"/>
    </row>
    <row r="9" spans="1:13" ht="29.25" customHeight="1">
      <c r="A9" s="4" t="s">
        <v>21</v>
      </c>
      <c r="B9" s="5">
        <v>1</v>
      </c>
      <c r="C9" s="5"/>
      <c r="D9" s="5"/>
      <c r="E9" s="6"/>
      <c r="F9" s="5"/>
      <c r="G9" s="5"/>
      <c r="H9" s="5"/>
      <c r="I9" s="5"/>
      <c r="J9" s="5"/>
      <c r="K9" s="9">
        <v>45126</v>
      </c>
      <c r="L9" s="14" t="s">
        <v>16</v>
      </c>
      <c r="M9" s="51" t="s">
        <v>22</v>
      </c>
    </row>
    <row r="10" spans="1:13" ht="29.25" customHeight="1">
      <c r="A10" s="10" t="s">
        <v>23</v>
      </c>
      <c r="B10" s="11">
        <v>3</v>
      </c>
      <c r="C10" s="11"/>
      <c r="D10" s="11"/>
      <c r="E10" s="11"/>
      <c r="F10" s="12"/>
      <c r="G10" s="11"/>
      <c r="H10" s="11"/>
      <c r="I10" s="11"/>
      <c r="J10" s="11"/>
      <c r="K10" s="9">
        <v>45131</v>
      </c>
      <c r="L10" s="13" t="s">
        <v>24</v>
      </c>
      <c r="M10" s="51" t="s">
        <v>25</v>
      </c>
    </row>
    <row r="11" spans="1:13" ht="29.25" customHeight="1">
      <c r="A11" s="13" t="s">
        <v>26</v>
      </c>
      <c r="B11" s="11">
        <v>7</v>
      </c>
      <c r="C11" s="11"/>
      <c r="D11" s="11"/>
      <c r="E11" s="11"/>
      <c r="F11" s="12"/>
      <c r="G11" s="11"/>
      <c r="H11" s="11"/>
      <c r="I11" s="11"/>
      <c r="J11" s="11"/>
      <c r="K11" s="9">
        <v>45138</v>
      </c>
      <c r="L11" s="13" t="s">
        <v>27</v>
      </c>
      <c r="M11" s="51"/>
    </row>
    <row r="12" spans="1:13" ht="29.25" customHeight="1">
      <c r="A12" s="13" t="s">
        <v>28</v>
      </c>
      <c r="B12" s="11">
        <v>4</v>
      </c>
      <c r="C12" s="11"/>
      <c r="D12" s="11"/>
      <c r="E12" s="11"/>
      <c r="F12" s="11"/>
      <c r="G12" s="12"/>
      <c r="H12" s="11"/>
      <c r="I12" s="11"/>
      <c r="J12" s="11"/>
      <c r="K12" s="9">
        <v>45145</v>
      </c>
      <c r="L12" s="4" t="s">
        <v>10</v>
      </c>
      <c r="M12" s="51" t="s">
        <v>29</v>
      </c>
    </row>
    <row r="13" spans="1:13" ht="29.25" customHeight="1">
      <c r="A13" s="15" t="s">
        <v>30</v>
      </c>
      <c r="B13" s="52">
        <v>1</v>
      </c>
      <c r="C13" s="11"/>
      <c r="D13" s="11"/>
      <c r="E13" s="11"/>
      <c r="F13" s="11"/>
      <c r="G13" s="12"/>
      <c r="H13" s="12"/>
      <c r="I13" s="11"/>
      <c r="J13" s="11"/>
      <c r="K13" s="9">
        <v>45148</v>
      </c>
      <c r="L13" s="15" t="s">
        <v>31</v>
      </c>
      <c r="M13" s="51" t="s">
        <v>32</v>
      </c>
    </row>
    <row r="14" spans="1:13" ht="29.25" customHeight="1">
      <c r="A14" s="13" t="s">
        <v>33</v>
      </c>
      <c r="B14" s="11">
        <v>3</v>
      </c>
      <c r="C14" s="11"/>
      <c r="D14" s="11"/>
      <c r="E14" s="11"/>
      <c r="F14" s="11"/>
      <c r="G14" s="11"/>
      <c r="H14" s="12"/>
      <c r="I14" s="12"/>
      <c r="J14" s="11"/>
      <c r="K14" s="9">
        <v>45155</v>
      </c>
      <c r="L14" s="15" t="s">
        <v>24</v>
      </c>
      <c r="M14" s="51" t="s">
        <v>29</v>
      </c>
    </row>
    <row r="15" spans="1:13" ht="29.25" customHeight="1">
      <c r="A15" s="13" t="s">
        <v>34</v>
      </c>
      <c r="B15" s="11">
        <v>5</v>
      </c>
      <c r="C15" s="11"/>
      <c r="D15" s="11"/>
      <c r="E15" s="11"/>
      <c r="F15" s="11"/>
      <c r="G15" s="11"/>
      <c r="H15" s="11"/>
      <c r="I15" s="11"/>
      <c r="J15" s="12"/>
      <c r="K15" s="9">
        <v>45164</v>
      </c>
      <c r="L15" s="15" t="s">
        <v>24</v>
      </c>
      <c r="M15" s="51" t="s">
        <v>29</v>
      </c>
    </row>
    <row r="16" spans="1:13" ht="29.25" customHeight="1">
      <c r="A16" s="13" t="s">
        <v>35</v>
      </c>
      <c r="B16" s="11">
        <v>1</v>
      </c>
      <c r="C16" s="11"/>
      <c r="D16" s="11"/>
      <c r="E16" s="11"/>
      <c r="F16" s="11"/>
      <c r="G16" s="11"/>
      <c r="H16" s="11"/>
      <c r="I16" s="11"/>
      <c r="J16" s="12"/>
      <c r="K16" s="9">
        <v>45165</v>
      </c>
      <c r="L16" s="15" t="s">
        <v>36</v>
      </c>
      <c r="M16" s="51" t="s">
        <v>29</v>
      </c>
    </row>
    <row r="19" spans="1:1">
      <c r="A19" t="s">
        <v>37</v>
      </c>
    </row>
    <row r="20" spans="1:1">
      <c r="A20" t="s">
        <v>38</v>
      </c>
    </row>
    <row r="22" spans="1:1">
      <c r="A22" t="s">
        <v>39</v>
      </c>
    </row>
    <row r="23" spans="1:1">
      <c r="A23" t="s">
        <v>40</v>
      </c>
    </row>
  </sheetData>
  <mergeCells count="7">
    <mergeCell ref="M1:M2"/>
    <mergeCell ref="L1:L2"/>
    <mergeCell ref="C1:F1"/>
    <mergeCell ref="G1:J1"/>
    <mergeCell ref="A1:A2"/>
    <mergeCell ref="B1:B2"/>
    <mergeCell ref="K1:K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C1EE-8A02-4728-9DE2-BFB482323A84}">
  <dimension ref="A1:H24"/>
  <sheetViews>
    <sheetView workbookViewId="0">
      <selection activeCell="J16" sqref="J16"/>
    </sheetView>
  </sheetViews>
  <sheetFormatPr defaultColWidth="11.42578125" defaultRowHeight="15"/>
  <cols>
    <col min="1" max="1" width="36" customWidth="1"/>
    <col min="6" max="6" width="18.42578125" customWidth="1"/>
    <col min="7" max="7" width="19.85546875" customWidth="1"/>
    <col min="8" max="8" width="54.28515625" style="58" customWidth="1"/>
  </cols>
  <sheetData>
    <row r="1" spans="1:8" ht="21" customHeight="1">
      <c r="A1" s="17" t="s">
        <v>41</v>
      </c>
      <c r="B1" s="17" t="s">
        <v>42</v>
      </c>
      <c r="C1" s="17" t="s">
        <v>43</v>
      </c>
      <c r="D1" s="17" t="s">
        <v>44</v>
      </c>
      <c r="E1" s="17" t="s">
        <v>45</v>
      </c>
      <c r="F1" s="17" t="s">
        <v>46</v>
      </c>
      <c r="G1" s="17" t="s">
        <v>47</v>
      </c>
      <c r="H1" s="55" t="s">
        <v>6</v>
      </c>
    </row>
    <row r="2" spans="1:8">
      <c r="A2" s="18" t="s">
        <v>48</v>
      </c>
      <c r="B2" s="19"/>
      <c r="C2" s="19"/>
      <c r="D2" s="19"/>
      <c r="E2" s="19"/>
      <c r="F2" s="20">
        <f t="shared" ref="F2" si="0">E2*C2</f>
        <v>0</v>
      </c>
      <c r="G2" s="20">
        <f t="shared" ref="G2" si="1">F2*E2</f>
        <v>0</v>
      </c>
      <c r="H2" s="51"/>
    </row>
    <row r="3" spans="1:8" ht="30.75">
      <c r="A3" s="10" t="s">
        <v>49</v>
      </c>
      <c r="B3" s="13" t="s">
        <v>50</v>
      </c>
      <c r="C3" s="13">
        <v>5</v>
      </c>
      <c r="D3" s="35"/>
      <c r="E3" s="13">
        <v>7000</v>
      </c>
      <c r="F3" s="21">
        <f>E3*C3</f>
        <v>35000</v>
      </c>
      <c r="G3" s="22">
        <f>F3/590</f>
        <v>59.322033898305087</v>
      </c>
      <c r="H3" s="51"/>
    </row>
    <row r="4" spans="1:8" s="64" customFormat="1" ht="45.75">
      <c r="A4" s="59" t="s">
        <v>51</v>
      </c>
      <c r="B4" s="60" t="s">
        <v>52</v>
      </c>
      <c r="C4" s="15">
        <v>10</v>
      </c>
      <c r="D4" s="60">
        <v>7</v>
      </c>
      <c r="E4" s="60">
        <v>70000</v>
      </c>
      <c r="F4" s="61">
        <f>C4*D4*E4</f>
        <v>4900000</v>
      </c>
      <c r="G4" s="62">
        <f>F4/590</f>
        <v>8305.0847457627115</v>
      </c>
      <c r="H4" s="63" t="s">
        <v>53</v>
      </c>
    </row>
    <row r="5" spans="1:8">
      <c r="A5" s="10" t="s">
        <v>54</v>
      </c>
      <c r="B5" s="13" t="s">
        <v>55</v>
      </c>
      <c r="C5" s="15">
        <v>10</v>
      </c>
      <c r="D5" s="60">
        <v>7</v>
      </c>
      <c r="E5" s="13">
        <v>35000</v>
      </c>
      <c r="F5" s="61">
        <f>C5*D5*E5</f>
        <v>2450000</v>
      </c>
      <c r="G5" s="22">
        <f t="shared" ref="G5" si="2">F5/590</f>
        <v>4152.5423728813557</v>
      </c>
      <c r="H5" s="51" t="s">
        <v>56</v>
      </c>
    </row>
    <row r="6" spans="1:8" ht="45.75">
      <c r="A6" s="23" t="s">
        <v>57</v>
      </c>
      <c r="B6" s="24"/>
      <c r="C6" s="24"/>
      <c r="D6" s="19"/>
      <c r="E6" s="24"/>
      <c r="F6" s="25">
        <f>E6*C6</f>
        <v>0</v>
      </c>
      <c r="G6" s="25">
        <f t="shared" ref="G6" si="3">F6*E6</f>
        <v>0</v>
      </c>
      <c r="H6" s="51" t="s">
        <v>58</v>
      </c>
    </row>
    <row r="7" spans="1:8">
      <c r="A7" s="10" t="s">
        <v>59</v>
      </c>
      <c r="B7" s="36" t="s">
        <v>52</v>
      </c>
      <c r="C7" s="13">
        <f>5*20</f>
        <v>100</v>
      </c>
      <c r="D7" s="35"/>
      <c r="E7" s="13">
        <v>45000</v>
      </c>
      <c r="F7" s="21">
        <f>E7*C7</f>
        <v>4500000</v>
      </c>
      <c r="G7" s="22">
        <f t="shared" ref="G7:G20" si="4">F7/590</f>
        <v>7627.1186440677966</v>
      </c>
      <c r="H7" s="51"/>
    </row>
    <row r="8" spans="1:8">
      <c r="A8" s="10" t="s">
        <v>60</v>
      </c>
      <c r="B8" s="13" t="s">
        <v>61</v>
      </c>
      <c r="C8" s="13">
        <f>20</f>
        <v>20</v>
      </c>
      <c r="D8" s="35"/>
      <c r="E8" s="13">
        <v>20000</v>
      </c>
      <c r="F8" s="21">
        <f>E8*C8</f>
        <v>400000</v>
      </c>
      <c r="G8" s="22">
        <f t="shared" si="4"/>
        <v>677.96610169491521</v>
      </c>
      <c r="H8" s="51"/>
    </row>
    <row r="9" spans="1:8">
      <c r="A9" s="10" t="s">
        <v>50</v>
      </c>
      <c r="B9" s="13" t="s">
        <v>62</v>
      </c>
      <c r="C9" s="13">
        <f>25*3</f>
        <v>75</v>
      </c>
      <c r="D9" s="35"/>
      <c r="E9" s="13">
        <v>7000</v>
      </c>
      <c r="F9" s="21">
        <f>E9*C9</f>
        <v>525000</v>
      </c>
      <c r="G9" s="22">
        <f t="shared" si="4"/>
        <v>889.83050847457628</v>
      </c>
      <c r="H9" s="51"/>
    </row>
    <row r="10" spans="1:8">
      <c r="A10" s="10" t="s">
        <v>63</v>
      </c>
      <c r="B10" s="13" t="s">
        <v>64</v>
      </c>
      <c r="C10" s="13">
        <f>25*3</f>
        <v>75</v>
      </c>
      <c r="D10" s="35"/>
      <c r="E10" s="13">
        <v>10000</v>
      </c>
      <c r="F10" s="21">
        <f>E10*C10</f>
        <v>750000</v>
      </c>
      <c r="G10" s="22">
        <f t="shared" si="4"/>
        <v>1271.1864406779662</v>
      </c>
      <c r="H10" s="51"/>
    </row>
    <row r="11" spans="1:8">
      <c r="A11" s="23" t="s">
        <v>65</v>
      </c>
      <c r="B11" s="26"/>
      <c r="C11" s="26"/>
      <c r="D11" s="35"/>
      <c r="E11" s="26"/>
      <c r="F11" s="25"/>
      <c r="G11" s="25"/>
      <c r="H11" s="53" t="s">
        <v>66</v>
      </c>
    </row>
    <row r="12" spans="1:8" ht="74.25" customHeight="1">
      <c r="A12" s="10" t="s">
        <v>67</v>
      </c>
      <c r="B12" s="35" t="s">
        <v>52</v>
      </c>
      <c r="C12" s="13">
        <f>10*7</f>
        <v>70</v>
      </c>
      <c r="D12" s="35"/>
      <c r="E12" s="35">
        <v>70000</v>
      </c>
      <c r="F12" s="21">
        <f>E12*C12</f>
        <v>4900000</v>
      </c>
      <c r="G12" s="22">
        <f t="shared" si="4"/>
        <v>8305.0847457627115</v>
      </c>
      <c r="H12" s="51" t="s">
        <v>68</v>
      </c>
    </row>
    <row r="13" spans="1:8">
      <c r="A13" s="10" t="s">
        <v>54</v>
      </c>
      <c r="B13" s="13" t="s">
        <v>69</v>
      </c>
      <c r="C13" s="13">
        <f>10*7</f>
        <v>70</v>
      </c>
      <c r="D13" s="35"/>
      <c r="E13" s="13">
        <v>35000</v>
      </c>
      <c r="F13" s="21">
        <f>E13*C13</f>
        <v>2450000</v>
      </c>
      <c r="G13" s="22">
        <f t="shared" si="4"/>
        <v>4152.5423728813557</v>
      </c>
      <c r="H13" s="51"/>
    </row>
    <row r="14" spans="1:8">
      <c r="A14" s="23" t="s">
        <v>70</v>
      </c>
      <c r="B14" s="26"/>
      <c r="C14" s="26"/>
      <c r="D14" s="35"/>
      <c r="E14" s="26"/>
      <c r="F14" s="25"/>
      <c r="G14" s="25"/>
      <c r="H14" s="51"/>
    </row>
    <row r="15" spans="1:8" ht="30.75">
      <c r="A15" s="10" t="s">
        <v>71</v>
      </c>
      <c r="B15" s="13" t="s">
        <v>72</v>
      </c>
      <c r="C15" s="13">
        <v>600</v>
      </c>
      <c r="D15" s="35"/>
      <c r="E15" s="13">
        <v>8000</v>
      </c>
      <c r="F15" s="21">
        <f>E15*C15</f>
        <v>4800000</v>
      </c>
      <c r="G15" s="27">
        <f t="shared" si="4"/>
        <v>8135.593220338983</v>
      </c>
      <c r="H15" s="56" t="s">
        <v>73</v>
      </c>
    </row>
    <row r="16" spans="1:8" s="41" customFormat="1" ht="30.75">
      <c r="A16" s="37" t="s">
        <v>74</v>
      </c>
      <c r="B16" s="38"/>
      <c r="C16" s="38"/>
      <c r="D16" s="40"/>
      <c r="E16" s="38"/>
      <c r="F16" s="39"/>
      <c r="G16" s="39"/>
      <c r="H16" s="53" t="s">
        <v>75</v>
      </c>
    </row>
    <row r="17" spans="1:8" s="41" customFormat="1">
      <c r="A17" s="42" t="s">
        <v>59</v>
      </c>
      <c r="B17" s="43" t="s">
        <v>52</v>
      </c>
      <c r="C17" s="44">
        <f>1*20</f>
        <v>20</v>
      </c>
      <c r="D17" s="40"/>
      <c r="E17" s="44">
        <v>45000</v>
      </c>
      <c r="F17" s="45">
        <f>E17*C17</f>
        <v>900000</v>
      </c>
      <c r="G17" s="46">
        <f t="shared" si="4"/>
        <v>1525.4237288135594</v>
      </c>
      <c r="H17" s="57"/>
    </row>
    <row r="18" spans="1:8" s="41" customFormat="1">
      <c r="A18" s="42" t="s">
        <v>60</v>
      </c>
      <c r="B18" s="44" t="s">
        <v>61</v>
      </c>
      <c r="C18" s="44">
        <v>20</v>
      </c>
      <c r="D18" s="40"/>
      <c r="E18" s="44">
        <v>20000</v>
      </c>
      <c r="F18" s="45">
        <f>E18*C18</f>
        <v>400000</v>
      </c>
      <c r="G18" s="46">
        <f t="shared" si="4"/>
        <v>677.96610169491521</v>
      </c>
      <c r="H18" s="57"/>
    </row>
    <row r="19" spans="1:8" s="41" customFormat="1">
      <c r="A19" s="42" t="s">
        <v>50</v>
      </c>
      <c r="B19" s="44" t="s">
        <v>62</v>
      </c>
      <c r="C19" s="44">
        <f>25</f>
        <v>25</v>
      </c>
      <c r="D19" s="40"/>
      <c r="E19" s="44">
        <v>7000</v>
      </c>
      <c r="F19" s="45">
        <f>E19*C19</f>
        <v>175000</v>
      </c>
      <c r="G19" s="46">
        <f t="shared" si="4"/>
        <v>296.61016949152543</v>
      </c>
      <c r="H19" s="57"/>
    </row>
    <row r="20" spans="1:8" s="41" customFormat="1">
      <c r="A20" s="42" t="s">
        <v>63</v>
      </c>
      <c r="B20" s="44" t="s">
        <v>64</v>
      </c>
      <c r="C20" s="44">
        <f>25</f>
        <v>25</v>
      </c>
      <c r="D20" s="40"/>
      <c r="E20" s="44">
        <v>10000</v>
      </c>
      <c r="F20" s="45">
        <f>E20*C20</f>
        <v>250000</v>
      </c>
      <c r="G20" s="46">
        <f t="shared" si="4"/>
        <v>423.72881355932202</v>
      </c>
      <c r="H20" s="57"/>
    </row>
    <row r="21" spans="1:8">
      <c r="A21" s="28" t="s">
        <v>76</v>
      </c>
      <c r="B21" s="29"/>
      <c r="C21" s="29"/>
      <c r="D21" s="7"/>
      <c r="E21" s="29"/>
      <c r="F21" s="29"/>
      <c r="G21" s="29"/>
      <c r="H21" s="51"/>
    </row>
    <row r="22" spans="1:8" ht="45.75">
      <c r="A22" s="30" t="s">
        <v>77</v>
      </c>
      <c r="B22" s="31" t="s">
        <v>78</v>
      </c>
      <c r="C22" s="31">
        <v>10</v>
      </c>
      <c r="D22" s="7"/>
      <c r="E22" s="31">
        <v>220000</v>
      </c>
      <c r="F22" s="32">
        <f>E22*C22</f>
        <v>2200000</v>
      </c>
      <c r="G22" s="22">
        <f>F22/590</f>
        <v>3728.8135593220341</v>
      </c>
      <c r="H22" s="51" t="s">
        <v>79</v>
      </c>
    </row>
    <row r="23" spans="1:8">
      <c r="A23" s="16" t="s">
        <v>80</v>
      </c>
      <c r="B23" s="33"/>
      <c r="C23" s="33"/>
      <c r="D23" s="54"/>
      <c r="E23" s="33"/>
      <c r="F23" s="34">
        <f>SUM(F3:F22)</f>
        <v>29635000</v>
      </c>
      <c r="G23" s="34">
        <f>SUM(G3:G22)</f>
        <v>50228.813559322036</v>
      </c>
      <c r="H23" s="51"/>
    </row>
    <row r="24" spans="1:8">
      <c r="C24" s="2" t="s">
        <v>81</v>
      </c>
      <c r="D24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SharedWithUsers xmlns="3940b711-dc1d-4235-b0a5-48d487f0d3b9">
      <UserInfo>
        <DisplayName>Alirah WEYORI</DisplayName>
        <AccountId>923</AccountId>
        <AccountType/>
      </UserInfo>
      <UserInfo>
        <DisplayName>Faroukou GARBA</DisplayName>
        <AccountId>1743</AccountId>
        <AccountType/>
      </UserInfo>
      <UserInfo>
        <DisplayName>Mohamed SALEM</DisplayName>
        <AccountId>20</AccountId>
        <AccountType/>
      </UserInfo>
      <UserInfo>
        <DisplayName>Outman BADAOUI</DisplayName>
        <AccountId>1749</AccountId>
        <AccountType/>
      </UserInfo>
      <UserInfo>
        <DisplayName>Federico DOEHNERT</DisplayName>
        <AccountId>436</AccountId>
        <AccountType/>
      </UserInfo>
      <UserInfo>
        <DisplayName>Moumouni KABRE</DisplayName>
        <AccountId>1750</AccountId>
        <AccountType/>
      </UserInfo>
      <UserInfo>
        <DisplayName>Moro DABRE</DisplayName>
        <AccountId>1751</AccountId>
        <AccountType/>
      </UserInfo>
      <UserInfo>
        <DisplayName>Zakaria KONFE</DisplayName>
        <AccountId>1920</AccountId>
        <AccountType/>
      </UserInfo>
      <UserInfo>
        <DisplayName>Isra WISHAH</DisplayName>
        <AccountId>18</AccountId>
        <AccountType/>
      </UserInfo>
      <UserInfo>
        <DisplayName>Marianne JENSBY</DisplayName>
        <AccountId>1110</AccountId>
        <AccountType/>
      </UserInfo>
      <UserInfo>
        <DisplayName>Cassandra WALKER</DisplayName>
        <AccountId>381</AccountId>
        <AccountType/>
      </UserInfo>
    </SharedWithUsers>
    <Notes xmlns="49256dcf-74b5-4e0f-b2ab-e17546be8a8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AB9F5B-51DE-45B4-9821-4C304F84D75B}"/>
</file>

<file path=customXml/itemProps2.xml><?xml version="1.0" encoding="utf-8"?>
<ds:datastoreItem xmlns:ds="http://schemas.openxmlformats.org/officeDocument/2006/customXml" ds:itemID="{AD2E21EB-CDFE-4917-BCA1-CEDA4ECA3C3A}"/>
</file>

<file path=customXml/itemProps3.xml><?xml version="1.0" encoding="utf-8"?>
<ds:datastoreItem xmlns:ds="http://schemas.openxmlformats.org/officeDocument/2006/customXml" ds:itemID="{185203DB-DA46-4AC2-B727-696F82A247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GARBA Faroukou</dc:creator>
  <cp:keywords/>
  <dc:description/>
  <cp:lastModifiedBy>Cassandra WALKER</cp:lastModifiedBy>
  <cp:revision/>
  <dcterms:created xsi:type="dcterms:W3CDTF">2023-07-04T12:03:26Z</dcterms:created>
  <dcterms:modified xsi:type="dcterms:W3CDTF">2023-07-14T13:03:35Z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