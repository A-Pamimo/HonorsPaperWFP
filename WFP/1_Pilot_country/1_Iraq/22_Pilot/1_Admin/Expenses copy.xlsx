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 validation study/Administrative docs/"/>
    </mc:Choice>
  </mc:AlternateContent>
  <xr:revisionPtr revIDLastSave="678" documentId="8_{5564A298-8D02-4C92-A7B6-D63CC0F27F8C}" xr6:coauthVersionLast="47" xr6:coauthVersionMax="47" xr10:uidLastSave="{2A0A2387-4B77-4F79-8823-5F8ECE78B4BD}"/>
  <bookViews>
    <workbookView xWindow="-110" yWindow="-110" windowWidth="19420" windowHeight="10420" xr2:uid="{8C71D0CF-287A-49D6-B8BD-07EB6D131113}"/>
  </bookViews>
  <sheets>
    <sheet name="Iraq Expenses" sheetId="1" r:id="rId1"/>
  </sheets>
  <definedNames>
    <definedName name="_xlnm._FilterDatabase" localSheetId="0" hidden="1">'Iraq Expenses'!$A$1:$G$1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58" i="1"/>
  <c r="D57" i="1"/>
  <c r="D56" i="1"/>
  <c r="E52" i="1"/>
  <c r="F34" i="1"/>
  <c r="E23" i="1"/>
  <c r="D46" i="1"/>
  <c r="E46" i="1" s="1"/>
  <c r="D33" i="1" l="1"/>
  <c r="D29" i="1"/>
  <c r="D45" i="1"/>
  <c r="E45" i="1" s="1"/>
  <c r="D44" i="1"/>
  <c r="D47" i="1" s="1"/>
  <c r="D32" i="1"/>
  <c r="D17" i="1"/>
  <c r="E17" i="1" s="1"/>
  <c r="D4" i="1"/>
  <c r="E4" i="1" s="1"/>
  <c r="D3" i="1"/>
  <c r="D38" i="1"/>
  <c r="D37" i="1"/>
  <c r="D19" i="1"/>
  <c r="B20" i="1"/>
  <c r="D18" i="1"/>
  <c r="E18" i="1" s="1"/>
  <c r="D34" i="1" l="1"/>
  <c r="E29" i="1"/>
  <c r="E44" i="1"/>
  <c r="E47" i="1" s="1"/>
  <c r="D6" i="1"/>
  <c r="E40" i="1"/>
  <c r="B23" i="1"/>
  <c r="D23" i="1" s="1"/>
  <c r="E14" i="1"/>
  <c r="E6" i="1"/>
  <c r="D40" i="1"/>
  <c r="D20" i="1"/>
  <c r="D24" i="1"/>
  <c r="D10" i="1"/>
  <c r="D11" i="1"/>
  <c r="D12" i="1"/>
  <c r="D9" i="1"/>
  <c r="E25" i="1" l="1"/>
  <c r="D25" i="1"/>
  <c r="D14" i="1"/>
  <c r="D51" i="1" l="1"/>
  <c r="E34" i="1"/>
  <c r="E51" i="1" s="1"/>
  <c r="F25" i="1"/>
  <c r="E53" i="1" l="1"/>
  <c r="E54" i="1" s="1"/>
</calcChain>
</file>

<file path=xl/sharedStrings.xml><?xml version="1.0" encoding="utf-8"?>
<sst xmlns="http://schemas.openxmlformats.org/spreadsheetml/2006/main" count="75" uniqueCount="54">
  <si>
    <t>Item</t>
  </si>
  <si>
    <t>Units</t>
  </si>
  <si>
    <t>Unit Cost (USD)</t>
  </si>
  <si>
    <t>Total Cost (USD)</t>
  </si>
  <si>
    <t>Gender component related  Expenses</t>
  </si>
  <si>
    <t>Comments</t>
  </si>
  <si>
    <t xml:space="preserve">Analysis (quant) </t>
  </si>
  <si>
    <t>PO and total amount</t>
  </si>
  <si>
    <t xml:space="preserve">Funding source </t>
  </si>
  <si>
    <t>Training of Trainers workshop</t>
  </si>
  <si>
    <t>i. Travel for Zun</t>
  </si>
  <si>
    <t>DSA for one day (extra night stay for indvidual and qualitative ToT)</t>
  </si>
  <si>
    <t>Gender</t>
  </si>
  <si>
    <t>ii. Venue H10 (4 days)</t>
  </si>
  <si>
    <t xml:space="preserve">One day for training on indvidual and qualitaive </t>
  </si>
  <si>
    <t>Sub-total</t>
  </si>
  <si>
    <t>Travels</t>
  </si>
  <si>
    <t>Ahmed</t>
  </si>
  <si>
    <t xml:space="preserve">One day extra for indvidual level training </t>
  </si>
  <si>
    <t>Alirah</t>
  </si>
  <si>
    <t>Isra</t>
  </si>
  <si>
    <t>Mohamed</t>
  </si>
  <si>
    <t>Enumeratot Training (4-7 Dec 2022)</t>
  </si>
  <si>
    <t>i. IFMR Enumerators (Lunch and Cofee break)</t>
  </si>
  <si>
    <t>Half of the lunch and coffee break for enumerators to cater for the extra half (females) that were recruited to take care of the gender</t>
  </si>
  <si>
    <t>ii. IFMR Staff (Transportation for 4 days for 10 staff)</t>
  </si>
  <si>
    <t>iv. Stars Orbit (Lunch and coffee break)</t>
  </si>
  <si>
    <t>v. Stars Orbit (Transportation for 2 days)</t>
  </si>
  <si>
    <t xml:space="preserve">DSA for enumertors </t>
  </si>
  <si>
    <t>iii. IFMR Staff (DSA for 3 days for 30 staff)</t>
  </si>
  <si>
    <t>Half of the total DSA for enumerators to cater for the extra half (females) that were recruited to take care of the indvidual level data collection and gender</t>
  </si>
  <si>
    <t xml:space="preserve">Vendor trip payment for 37 enumerators </t>
  </si>
  <si>
    <t>rCARI budget</t>
  </si>
  <si>
    <t>vi. Stars Orbit (DSA for one day)</t>
  </si>
  <si>
    <t>rCARI</t>
  </si>
  <si>
    <t>Data Collection</t>
  </si>
  <si>
    <t>IFMR face-to-face</t>
  </si>
  <si>
    <t xml:space="preserve">Cost of F2F data collection </t>
  </si>
  <si>
    <t xml:space="preserve">half of the cost for HH visit is due to gender component (invdidual interviews and cost of male an female enumertors for each visit (13+8=21) for each household visit </t>
  </si>
  <si>
    <t>Stars Orbit Remote</t>
  </si>
  <si>
    <t xml:space="preserve">Cost of remote data collection </t>
  </si>
  <si>
    <t xml:space="preserve">Top up </t>
  </si>
  <si>
    <t>Field Supervision</t>
  </si>
  <si>
    <t>i. DSA for CO staff to Suleimaniya</t>
  </si>
  <si>
    <t>ii. DSA for CO staff to Duhok</t>
  </si>
  <si>
    <t>Qualitative survey</t>
  </si>
  <si>
    <t xml:space="preserve">i. FGDs (Dokouk </t>
  </si>
  <si>
    <t xml:space="preserve">CO budget </t>
  </si>
  <si>
    <t>ii. FGD (Sulimania)</t>
  </si>
  <si>
    <t xml:space="preserve">II. Transportation </t>
  </si>
  <si>
    <t>Overall Total</t>
  </si>
  <si>
    <t xml:space="preserve">Share of gender component </t>
  </si>
  <si>
    <t>Remaining money (including cost paid by rCARI and CO)</t>
  </si>
  <si>
    <t>Remaining money (Excluding cost paid by rCARI and 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</si>
</sst>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32363A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0">
    <xf numFmtId="0" fontId="0" fillId="0" borderId="0" xfId="0"/>
    <xf numFmtId="4" fontId="0" fillId="0" borderId="0" xfId="0" applyNumberFormat="1"/>
    <xf numFmtId="0" fontId="2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1" fillId="0" borderId="0" xfId="0" applyFont="1"/>
    <xf numFmtId="3" fontId="0" fillId="0" borderId="0" xfId="0" applyNumberFormat="1"/>
    <xf numFmtId="9" fontId="0" fillId="0" borderId="0" xfId="1" applyFont="1"/>
    <xf numFmtId="2" fontId="0" fillId="0" borderId="0" xfId="0" applyNumberFormat="1"/>
    <xf numFmtId="0" fontId="8" fillId="0" borderId="0" xfId="0" applyFont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5" fillId="0" borderId="1" xfId="0" applyFont="1" applyBorder="1"/>
    <xf numFmtId="4" fontId="5" fillId="0" borderId="1" xfId="0" applyNumberFormat="1" applyFont="1" applyBorder="1"/>
    <xf numFmtId="4" fontId="7" fillId="0" borderId="1" xfId="0" applyNumberFormat="1" applyFont="1" applyBorder="1"/>
    <xf numFmtId="0" fontId="7" fillId="0" borderId="1" xfId="0" applyFont="1" applyBorder="1"/>
    <xf numFmtId="0" fontId="6" fillId="0" borderId="0" xfId="0" applyFont="1"/>
    <xf numFmtId="2" fontId="8" fillId="0" borderId="0" xfId="0" applyNumberFormat="1" applyFont="1"/>
    <xf numFmtId="2" fontId="7" fillId="0" borderId="1" xfId="0" applyNumberFormat="1" applyFont="1" applyBorder="1"/>
    <xf numFmtId="0" fontId="9" fillId="0" borderId="1" xfId="0" applyFont="1" applyBorder="1"/>
    <xf numFmtId="0" fontId="5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wrapText="1"/>
    </xf>
    <xf numFmtId="3" fontId="7" fillId="0" borderId="0" xfId="0" applyNumberFormat="1" applyFont="1"/>
    <xf numFmtId="3" fontId="9" fillId="0" borderId="1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2" fontId="0" fillId="3" borderId="0" xfId="0" applyNumberFormat="1" applyFill="1"/>
    <xf numFmtId="0" fontId="11" fillId="0" borderId="1" xfId="0" applyFont="1" applyBorder="1"/>
    <xf numFmtId="0" fontId="0" fillId="0" borderId="0" xfId="0" applyAlignment="1">
      <alignment wrapText="1"/>
    </xf>
    <xf numFmtId="2" fontId="8" fillId="3" borderId="0" xfId="0" applyNumberFormat="1" applyFont="1" applyFill="1"/>
    <xf numFmtId="0" fontId="8" fillId="3" borderId="0" xfId="0" applyFont="1" applyFill="1"/>
    <xf numFmtId="0" fontId="0" fillId="4" borderId="0" xfId="0" applyFill="1"/>
    <xf numFmtId="0" fontId="10" fillId="4" borderId="0" xfId="0" applyFont="1" applyFill="1" applyAlignment="1">
      <alignment horizontal="center"/>
    </xf>
    <xf numFmtId="0" fontId="10" fillId="4" borderId="0" xfId="0" applyFont="1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0" fillId="5" borderId="0" xfId="0" applyFont="1" applyFill="1" applyAlignment="1">
      <alignment horizontal="right"/>
    </xf>
    <xf numFmtId="0" fontId="10" fillId="5" borderId="0" xfId="0" applyFont="1" applyFill="1"/>
    <xf numFmtId="3" fontId="11" fillId="0" borderId="1" xfId="0" applyNumberFormat="1" applyFont="1" applyBorder="1"/>
    <xf numFmtId="4" fontId="6" fillId="0" borderId="0" xfId="0" applyNumberFormat="1" applyFont="1" applyAlignment="1">
      <alignment horizontal="center" vertic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4" fontId="5" fillId="0" borderId="4" xfId="0" applyNumberFormat="1" applyFont="1" applyBorder="1"/>
    <xf numFmtId="43" fontId="5" fillId="0" borderId="4" xfId="2" applyFont="1" applyBorder="1"/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9" fontId="12" fillId="0" borderId="3" xfId="1" applyFont="1" applyBorder="1"/>
    <xf numFmtId="43" fontId="13" fillId="0" borderId="3" xfId="0" applyNumberFormat="1" applyFont="1" applyBorder="1"/>
    <xf numFmtId="9" fontId="5" fillId="0" borderId="0" xfId="1" applyFont="1" applyFill="1" applyBorder="1"/>
    <xf numFmtId="0" fontId="1" fillId="2" borderId="0" xfId="0" applyFont="1" applyFill="1"/>
    <xf numFmtId="0" fontId="0" fillId="3" borderId="0" xfId="0" applyFill="1" applyAlignment="1">
      <alignment wrapText="1"/>
    </xf>
    <xf numFmtId="9" fontId="6" fillId="0" borderId="0" xfId="1" applyFont="1"/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wrapText="1"/>
    </xf>
    <xf numFmtId="43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005A-3286-459C-B419-C0FC7BD0A75E}">
  <dimension ref="A1:J58"/>
  <sheetViews>
    <sheetView tabSelected="1" zoomScale="60" zoomScaleNormal="60" workbookViewId="0">
      <pane ySplit="1" topLeftCell="A45" activePane="bottomLeft" state="frozen"/>
      <selection pane="bottomLeft" activeCell="E59" sqref="E59"/>
    </sheetView>
  </sheetViews>
  <sheetFormatPr defaultRowHeight="14.45"/>
  <cols>
    <col min="1" max="1" width="50.85546875" bestFit="1" customWidth="1"/>
    <col min="2" max="2" width="14" style="21" customWidth="1"/>
    <col min="3" max="4" width="22.140625" customWidth="1"/>
    <col min="5" max="5" width="24.5703125" customWidth="1"/>
    <col min="6" max="6" width="40.140625" customWidth="1"/>
    <col min="7" max="7" width="20.5703125" customWidth="1"/>
    <col min="8" max="8" width="25.5703125" customWidth="1"/>
    <col min="9" max="9" width="10.140625" bestFit="1" customWidth="1"/>
  </cols>
  <sheetData>
    <row r="1" spans="1:9" s="4" customFormat="1" ht="32.450000000000003" customHeight="1" thickBot="1">
      <c r="A1" s="9" t="s">
        <v>0</v>
      </c>
      <c r="B1" s="20" t="s">
        <v>1</v>
      </c>
      <c r="C1" s="23" t="s">
        <v>2</v>
      </c>
      <c r="D1" s="10" t="s">
        <v>3</v>
      </c>
      <c r="E1" s="11" t="s">
        <v>4</v>
      </c>
      <c r="F1" s="9" t="s">
        <v>5</v>
      </c>
      <c r="G1" s="9" t="s">
        <v>6</v>
      </c>
      <c r="H1" s="54" t="s">
        <v>7</v>
      </c>
      <c r="I1" s="54" t="s">
        <v>8</v>
      </c>
    </row>
    <row r="2" spans="1:9">
      <c r="A2" t="s">
        <v>9</v>
      </c>
      <c r="E2" s="8"/>
      <c r="G2" s="2"/>
      <c r="H2" s="3"/>
    </row>
    <row r="3" spans="1:9">
      <c r="A3" t="s">
        <v>10</v>
      </c>
      <c r="B3" s="21">
        <v>1</v>
      </c>
      <c r="C3" s="5">
        <v>3176</v>
      </c>
      <c r="D3" s="5">
        <f>3176*1.0413</f>
        <v>3307.1687999999995</v>
      </c>
      <c r="E3" s="17">
        <v>300</v>
      </c>
      <c r="F3" t="s">
        <v>11</v>
      </c>
      <c r="G3" s="2"/>
      <c r="H3" s="3"/>
      <c r="I3" t="s">
        <v>12</v>
      </c>
    </row>
    <row r="4" spans="1:9">
      <c r="A4" t="s">
        <v>13</v>
      </c>
      <c r="B4" s="21">
        <v>1</v>
      </c>
      <c r="C4" s="5">
        <v>3444</v>
      </c>
      <c r="D4" s="5">
        <f>3444*1.0413</f>
        <v>3586.2371999999996</v>
      </c>
      <c r="E4" s="17">
        <f>D4/4</f>
        <v>896.55929999999989</v>
      </c>
      <c r="F4" t="s">
        <v>14</v>
      </c>
      <c r="G4" s="2"/>
      <c r="H4" s="3"/>
      <c r="I4" t="s">
        <v>12</v>
      </c>
    </row>
    <row r="5" spans="1:9">
      <c r="E5" s="8"/>
      <c r="G5" s="2"/>
      <c r="H5" s="3"/>
    </row>
    <row r="6" spans="1:9" s="16" customFormat="1" ht="24.6" customHeight="1" thickBot="1">
      <c r="A6" s="12" t="s">
        <v>15</v>
      </c>
      <c r="B6" s="22"/>
      <c r="C6" s="12"/>
      <c r="D6" s="43">
        <f>SUM(D3:D5)</f>
        <v>6893.405999999999</v>
      </c>
      <c r="E6" s="25">
        <f>SUM(E3:E5)</f>
        <v>1196.5592999999999</v>
      </c>
    </row>
    <row r="7" spans="1:9" ht="15.95" thickTop="1">
      <c r="E7" s="24"/>
    </row>
    <row r="8" spans="1:9">
      <c r="A8" s="4" t="s">
        <v>16</v>
      </c>
      <c r="E8" s="8"/>
    </row>
    <row r="9" spans="1:9" ht="14.45" customHeight="1">
      <c r="A9" t="s">
        <v>17</v>
      </c>
      <c r="B9" s="21">
        <v>1</v>
      </c>
      <c r="C9">
        <v>2148.73</v>
      </c>
      <c r="D9">
        <f>+C9*B9</f>
        <v>2148.73</v>
      </c>
      <c r="E9" s="17">
        <v>179</v>
      </c>
      <c r="F9" s="57" t="s">
        <v>18</v>
      </c>
      <c r="I9" t="s">
        <v>12</v>
      </c>
    </row>
    <row r="10" spans="1:9" ht="14.45" customHeight="1">
      <c r="A10" t="s">
        <v>19</v>
      </c>
      <c r="B10" s="21">
        <v>1</v>
      </c>
      <c r="C10" s="1">
        <v>5039.53</v>
      </c>
      <c r="D10">
        <f>+C10*B10</f>
        <v>5039.53</v>
      </c>
      <c r="E10" s="17">
        <v>179</v>
      </c>
      <c r="F10" s="57"/>
      <c r="I10" t="s">
        <v>12</v>
      </c>
    </row>
    <row r="11" spans="1:9" ht="14.45" customHeight="1">
      <c r="A11" t="s">
        <v>20</v>
      </c>
      <c r="B11" s="21">
        <v>1</v>
      </c>
      <c r="C11" s="1">
        <v>3401.72</v>
      </c>
      <c r="D11">
        <f>+C11*B11</f>
        <v>3401.72</v>
      </c>
      <c r="E11" s="17">
        <v>179</v>
      </c>
      <c r="F11" s="57"/>
      <c r="I11" t="s">
        <v>12</v>
      </c>
    </row>
    <row r="12" spans="1:9" ht="14.45" customHeight="1">
      <c r="A12" t="s">
        <v>21</v>
      </c>
      <c r="B12" s="21">
        <v>1</v>
      </c>
      <c r="C12" s="1">
        <v>1740.16</v>
      </c>
      <c r="D12">
        <f>+C12*B12</f>
        <v>1740.16</v>
      </c>
      <c r="E12" s="17">
        <v>179</v>
      </c>
      <c r="F12" s="57"/>
      <c r="I12" t="s">
        <v>12</v>
      </c>
    </row>
    <row r="13" spans="1:9">
      <c r="E13" s="8"/>
    </row>
    <row r="14" spans="1:9" s="16" customFormat="1" ht="24.95" customHeight="1" thickBot="1">
      <c r="A14" s="12" t="s">
        <v>15</v>
      </c>
      <c r="B14" s="22"/>
      <c r="C14" s="12"/>
      <c r="D14" s="12">
        <f>SUM(D9:D13)</f>
        <v>12330.14</v>
      </c>
      <c r="E14" s="18">
        <f>SUM(E9:E13)</f>
        <v>716</v>
      </c>
    </row>
    <row r="15" spans="1:9" ht="15" thickTop="1">
      <c r="E15" s="8"/>
    </row>
    <row r="16" spans="1:9">
      <c r="A16" s="4" t="s">
        <v>22</v>
      </c>
      <c r="E16" s="8"/>
    </row>
    <row r="17" spans="1:10" ht="14.45" customHeight="1">
      <c r="A17" t="s">
        <v>23</v>
      </c>
      <c r="B17" s="21">
        <v>1</v>
      </c>
      <c r="C17">
        <v>3126.4</v>
      </c>
      <c r="D17" s="1">
        <f>C17*B17</f>
        <v>3126.4</v>
      </c>
      <c r="E17" s="17">
        <f>((D17/3)*2)/2+(D17/3)</f>
        <v>2084.2666666666669</v>
      </c>
      <c r="F17" s="32" t="s">
        <v>24</v>
      </c>
      <c r="G17" s="1"/>
      <c r="H17">
        <v>4400312197</v>
      </c>
      <c r="I17" t="s">
        <v>12</v>
      </c>
    </row>
    <row r="18" spans="1:10">
      <c r="A18" t="s">
        <v>25</v>
      </c>
      <c r="B18" s="21">
        <v>10</v>
      </c>
      <c r="C18">
        <v>40</v>
      </c>
      <c r="D18">
        <f>+C18*B18</f>
        <v>400</v>
      </c>
      <c r="E18" s="8">
        <f>D18/2</f>
        <v>200</v>
      </c>
      <c r="F18" s="32"/>
      <c r="I18" t="s">
        <v>12</v>
      </c>
    </row>
    <row r="19" spans="1:10">
      <c r="A19" t="s">
        <v>26</v>
      </c>
      <c r="B19" s="21">
        <v>2</v>
      </c>
      <c r="C19">
        <v>217.8</v>
      </c>
      <c r="D19" s="7">
        <f>+C19*B19</f>
        <v>435.6</v>
      </c>
      <c r="E19" s="8"/>
      <c r="H19" s="7"/>
      <c r="I19" t="s">
        <v>12</v>
      </c>
      <c r="J19" s="7"/>
    </row>
    <row r="20" spans="1:10">
      <c r="A20" t="s">
        <v>27</v>
      </c>
      <c r="B20" s="21">
        <f>3*2</f>
        <v>6</v>
      </c>
      <c r="C20">
        <v>10</v>
      </c>
      <c r="D20">
        <f>+C20*B20</f>
        <v>60</v>
      </c>
      <c r="E20" s="8"/>
      <c r="I20" t="s">
        <v>12</v>
      </c>
      <c r="J20" s="7"/>
    </row>
    <row r="21" spans="1:10">
      <c r="E21" s="8"/>
    </row>
    <row r="22" spans="1:10">
      <c r="A22" t="s">
        <v>28</v>
      </c>
      <c r="E22" s="8"/>
    </row>
    <row r="23" spans="1:10" ht="14.45" customHeight="1">
      <c r="A23" s="28" t="s">
        <v>29</v>
      </c>
      <c r="B23" s="29">
        <f>30*3</f>
        <v>90</v>
      </c>
      <c r="C23" s="28">
        <v>159.24</v>
      </c>
      <c r="D23" s="30">
        <f>+C23*B23</f>
        <v>14331.6</v>
      </c>
      <c r="E23" s="33">
        <f>D23/2</f>
        <v>7165.8</v>
      </c>
      <c r="F23" s="28" t="s">
        <v>30</v>
      </c>
      <c r="G23" s="28"/>
      <c r="H23" s="58" t="s">
        <v>31</v>
      </c>
      <c r="I23" s="55" t="s">
        <v>32</v>
      </c>
    </row>
    <row r="24" spans="1:10">
      <c r="A24" s="28" t="s">
        <v>33</v>
      </c>
      <c r="B24" s="29">
        <v>7</v>
      </c>
      <c r="C24" s="28">
        <v>159.24</v>
      </c>
      <c r="D24" s="28">
        <f>+C24*B24</f>
        <v>1114.68</v>
      </c>
      <c r="E24" s="34"/>
      <c r="F24" s="28"/>
      <c r="G24" s="28"/>
      <c r="H24" s="58"/>
      <c r="I24" s="55" t="s">
        <v>34</v>
      </c>
    </row>
    <row r="25" spans="1:10" ht="25.5" customHeight="1" thickBot="1">
      <c r="A25" s="12" t="s">
        <v>15</v>
      </c>
      <c r="B25" s="22"/>
      <c r="C25" s="12"/>
      <c r="D25" s="13">
        <f>SUM(D17:D24)</f>
        <v>19468.28</v>
      </c>
      <c r="E25" s="14">
        <f>SUM(E17:E24)</f>
        <v>9450.0666666666675</v>
      </c>
      <c r="F25" s="6">
        <f>E25/D25</f>
        <v>0.48540840108456773</v>
      </c>
    </row>
    <row r="26" spans="1:10" ht="15" thickTop="1">
      <c r="E26" s="8"/>
    </row>
    <row r="27" spans="1:10">
      <c r="A27" s="4" t="s">
        <v>35</v>
      </c>
      <c r="E27" s="8"/>
    </row>
    <row r="28" spans="1:10">
      <c r="A28" t="s">
        <v>36</v>
      </c>
      <c r="E28" s="8"/>
    </row>
    <row r="29" spans="1:10" ht="14.45" customHeight="1">
      <c r="A29" t="s">
        <v>37</v>
      </c>
      <c r="B29" s="26">
        <v>575</v>
      </c>
      <c r="C29" s="27">
        <v>21</v>
      </c>
      <c r="D29" s="27">
        <f>+C29*B29</f>
        <v>12075</v>
      </c>
      <c r="E29" s="8">
        <f>D29/2</f>
        <v>6037.5</v>
      </c>
      <c r="F29" s="32" t="s">
        <v>38</v>
      </c>
      <c r="H29">
        <v>4800352551</v>
      </c>
      <c r="I29" t="s">
        <v>12</v>
      </c>
    </row>
    <row r="30" spans="1:10" ht="14.45" customHeight="1">
      <c r="F30" s="32"/>
    </row>
    <row r="31" spans="1:10">
      <c r="A31" s="4" t="s">
        <v>39</v>
      </c>
      <c r="B31" s="26"/>
      <c r="C31" s="27"/>
      <c r="D31" s="27"/>
      <c r="E31" s="8"/>
    </row>
    <row r="32" spans="1:10">
      <c r="A32" t="s">
        <v>40</v>
      </c>
      <c r="B32" s="21">
        <v>541</v>
      </c>
      <c r="C32" s="27">
        <v>6.5</v>
      </c>
      <c r="D32">
        <f>B32*C32</f>
        <v>3516.5</v>
      </c>
      <c r="E32" s="8"/>
      <c r="H32" s="21">
        <v>4800352552</v>
      </c>
      <c r="I32" t="s">
        <v>12</v>
      </c>
    </row>
    <row r="33" spans="1:9">
      <c r="A33" t="s">
        <v>41</v>
      </c>
      <c r="B33" s="21">
        <v>478</v>
      </c>
      <c r="C33">
        <v>0.69</v>
      </c>
      <c r="D33">
        <f>B33*C33</f>
        <v>329.82</v>
      </c>
      <c r="E33" s="8"/>
      <c r="H33">
        <v>4800352550</v>
      </c>
      <c r="I33" t="s">
        <v>12</v>
      </c>
    </row>
    <row r="34" spans="1:9" s="16" customFormat="1" ht="24.95" customHeight="1" thickBot="1">
      <c r="A34" s="12" t="s">
        <v>15</v>
      </c>
      <c r="B34" s="22"/>
      <c r="C34" s="12"/>
      <c r="D34" s="12">
        <f>SUM(D29,D32,D33)</f>
        <v>15921.32</v>
      </c>
      <c r="E34" s="15">
        <f>SUM(E29:E32)</f>
        <v>6037.5</v>
      </c>
      <c r="F34" s="56">
        <f>E34/D34</f>
        <v>0.37920850783728988</v>
      </c>
    </row>
    <row r="35" spans="1:9" ht="15" thickTop="1">
      <c r="E35" s="8"/>
    </row>
    <row r="36" spans="1:9">
      <c r="A36" t="s">
        <v>42</v>
      </c>
      <c r="E36" s="8"/>
    </row>
    <row r="37" spans="1:9">
      <c r="A37" t="s">
        <v>43</v>
      </c>
      <c r="B37" s="21">
        <v>1</v>
      </c>
      <c r="C37">
        <v>174</v>
      </c>
      <c r="D37">
        <f>+C37*B37</f>
        <v>174</v>
      </c>
      <c r="E37" s="8"/>
      <c r="I37" t="s">
        <v>12</v>
      </c>
    </row>
    <row r="38" spans="1:9">
      <c r="A38" t="s">
        <v>44</v>
      </c>
      <c r="B38" s="21">
        <v>1</v>
      </c>
      <c r="C38">
        <v>239</v>
      </c>
      <c r="D38">
        <f>+C38*B38</f>
        <v>239</v>
      </c>
      <c r="E38" s="8"/>
      <c r="I38" t="s">
        <v>12</v>
      </c>
    </row>
    <row r="39" spans="1:9">
      <c r="E39" s="8"/>
    </row>
    <row r="40" spans="1:9" s="16" customFormat="1" ht="25.5" customHeight="1" thickBot="1">
      <c r="A40" s="12" t="s">
        <v>15</v>
      </c>
      <c r="B40" s="22"/>
      <c r="C40" s="12"/>
      <c r="D40" s="12">
        <f>SUM(D37:D38)</f>
        <v>413</v>
      </c>
      <c r="E40" s="19">
        <f>SUM(E38,E37)</f>
        <v>0</v>
      </c>
    </row>
    <row r="41" spans="1:9" ht="15" thickTop="1">
      <c r="E41" s="8"/>
    </row>
    <row r="42" spans="1:9">
      <c r="E42" s="8"/>
    </row>
    <row r="43" spans="1:9">
      <c r="A43" t="s">
        <v>45</v>
      </c>
      <c r="E43" s="8"/>
    </row>
    <row r="44" spans="1:9">
      <c r="A44" s="35" t="s">
        <v>46</v>
      </c>
      <c r="B44" s="36">
        <v>6</v>
      </c>
      <c r="C44" s="37">
        <v>239</v>
      </c>
      <c r="D44" s="37">
        <f>B44*C44</f>
        <v>1434</v>
      </c>
      <c r="E44" s="37">
        <f>D44</f>
        <v>1434</v>
      </c>
      <c r="F44" s="35"/>
      <c r="G44" s="35"/>
      <c r="H44" s="35"/>
      <c r="I44" s="35" t="s">
        <v>47</v>
      </c>
    </row>
    <row r="45" spans="1:9">
      <c r="A45" s="35" t="s">
        <v>48</v>
      </c>
      <c r="B45" s="38">
        <v>3</v>
      </c>
      <c r="C45" s="37">
        <v>174</v>
      </c>
      <c r="D45" s="37">
        <f>B45*C45</f>
        <v>522</v>
      </c>
      <c r="E45" s="37">
        <f>D45</f>
        <v>522</v>
      </c>
      <c r="F45" s="35"/>
      <c r="G45" s="35"/>
      <c r="H45" s="35"/>
      <c r="I45" s="35" t="s">
        <v>47</v>
      </c>
    </row>
    <row r="46" spans="1:9">
      <c r="A46" s="39" t="s">
        <v>49</v>
      </c>
      <c r="B46" s="40">
        <v>1</v>
      </c>
      <c r="C46" s="39">
        <v>174</v>
      </c>
      <c r="D46" s="41">
        <f>B46*C46</f>
        <v>174</v>
      </c>
      <c r="E46" s="42">
        <f>D46</f>
        <v>174</v>
      </c>
      <c r="F46" s="39"/>
      <c r="G46" s="39"/>
      <c r="H46" s="39"/>
      <c r="I46" s="39" t="s">
        <v>34</v>
      </c>
    </row>
    <row r="47" spans="1:9" s="16" customFormat="1" ht="24" customHeight="1" thickBot="1">
      <c r="A47" s="12" t="s">
        <v>15</v>
      </c>
      <c r="B47" s="22"/>
      <c r="C47" s="12"/>
      <c r="D47" s="31">
        <f>SUM(D44:D46)</f>
        <v>2130</v>
      </c>
      <c r="E47" s="31">
        <f>SUM(E44:E46)</f>
        <v>2130</v>
      </c>
    </row>
    <row r="48" spans="1:9" ht="15" thickTop="1"/>
    <row r="51" spans="1:9" s="16" customFormat="1" ht="25.5" customHeight="1">
      <c r="A51" s="45" t="s">
        <v>50</v>
      </c>
      <c r="B51" s="46"/>
      <c r="C51" s="45"/>
      <c r="D51" s="47">
        <f>SUM(D34,D25,D14,D6,D40,D47)</f>
        <v>57156.145999999993</v>
      </c>
      <c r="E51" s="48">
        <f>SUM(E34,E25,E14,E6,E40,E47)</f>
        <v>19530.125966666666</v>
      </c>
      <c r="F51" s="53"/>
      <c r="H51" s="44"/>
      <c r="I51" s="44"/>
    </row>
    <row r="52" spans="1:9" ht="18.600000000000001">
      <c r="A52" s="49" t="s">
        <v>51</v>
      </c>
      <c r="B52" s="50"/>
      <c r="C52" s="49"/>
      <c r="D52" s="49"/>
      <c r="E52" s="51">
        <f>E51/D51</f>
        <v>0.34169774089853205</v>
      </c>
    </row>
    <row r="53" spans="1:9" ht="18.600000000000001">
      <c r="A53" s="49" t="s">
        <v>52</v>
      </c>
      <c r="B53" s="50"/>
      <c r="C53" s="49"/>
      <c r="D53" s="49"/>
      <c r="E53" s="52">
        <f>D51-E51</f>
        <v>37626.020033333327</v>
      </c>
    </row>
    <row r="54" spans="1:9" ht="18.600000000000001">
      <c r="A54" s="49" t="s">
        <v>53</v>
      </c>
      <c r="B54" s="50"/>
      <c r="C54" s="49"/>
      <c r="D54" s="49"/>
      <c r="E54" s="52">
        <f>E53-D47-D23-D24</f>
        <v>20049.740033333328</v>
      </c>
    </row>
    <row r="56" spans="1:9">
      <c r="D56" s="1">
        <f>+D51</f>
        <v>57156.145999999993</v>
      </c>
    </row>
    <row r="57" spans="1:9">
      <c r="D57" s="59">
        <f>+E51</f>
        <v>19530.125966666666</v>
      </c>
    </row>
    <row r="58" spans="1:9">
      <c r="D58" s="59">
        <f>D56-D57</f>
        <v>37626.020033333327</v>
      </c>
      <c r="E58" s="59">
        <f>D58*1.48</f>
        <v>55686.509649333326</v>
      </c>
    </row>
  </sheetData>
  <autoFilter ref="A1:G1" xr:uid="{1DE6005A-3286-459C-B419-C0FC7BD0A75E}"/>
  <mergeCells count="2">
    <mergeCell ref="F9:F12"/>
    <mergeCell ref="H23:H24"/>
  </mergeCells>
  <pageMargins left="0.7" right="0.7" top="0.75" bottom="0.75" header="0.3" footer="0.3"/>
  <pageSetup paperSize="9" orientation="portrait" r:id="rId1"/>
  <ignoredErrors>
    <ignoredError sqref="E18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0b711-dc1d-4235-b0a5-48d487f0d3b9" xsi:nil="true"/>
    <lcf76f155ced4ddcb4097134ff3c332f xmlns="49256dcf-74b5-4e0f-b2ab-e17546be8a80">
      <Terms xmlns="http://schemas.microsoft.com/office/infopath/2007/PartnerControls"/>
    </lcf76f155ced4ddcb4097134ff3c332f>
    <Notes xmlns="49256dcf-74b5-4e0f-b2ab-e17546be8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0AAE7-FCE0-4B2A-81B6-11F0DD358610}"/>
</file>

<file path=customXml/itemProps2.xml><?xml version="1.0" encoding="utf-8"?>
<ds:datastoreItem xmlns:ds="http://schemas.openxmlformats.org/officeDocument/2006/customXml" ds:itemID="{50F06EE8-5EA2-443D-8C4A-815E30750352}"/>
</file>

<file path=customXml/itemProps3.xml><?xml version="1.0" encoding="utf-8"?>
<ds:datastoreItem xmlns:ds="http://schemas.openxmlformats.org/officeDocument/2006/customXml" ds:itemID="{45B17462-A349-4D5C-B568-AC5766935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 Food Programme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WEYORI Alirah</dc:creator>
  <cp:keywords/>
  <dc:description/>
  <cp:lastModifiedBy>Alirah WEYORI</cp:lastModifiedBy>
  <cp:revision/>
  <dcterms:created xsi:type="dcterms:W3CDTF">2022-12-28T22:32:52Z</dcterms:created>
  <dcterms:modified xsi:type="dcterms:W3CDTF">2023-11-23T12:46:17Z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