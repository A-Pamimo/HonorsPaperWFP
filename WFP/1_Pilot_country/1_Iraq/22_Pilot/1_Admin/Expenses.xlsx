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wfp.sharepoint.com/sites/NeedsAssessmentsTeam/Shared Documents/General/01. Food security assessments/1.3 Research &amp; Reviews/2_CARI_validation/1_rCARI validation study/CO folders for rCARI_CARI validation/1_Iraq Study/"/>
    </mc:Choice>
  </mc:AlternateContent>
  <xr:revisionPtr revIDLastSave="130" documentId="8_{5564A298-8D02-4C92-A7B6-D63CC0F27F8C}" xr6:coauthVersionLast="47" xr6:coauthVersionMax="47" xr10:uidLastSave="{0AB97C0D-D6EE-4E49-86BB-AD6BEC602B99}"/>
  <bookViews>
    <workbookView xWindow="-110" yWindow="-110" windowWidth="19420" windowHeight="11620" xr2:uid="{8C71D0CF-287A-49D6-B8BD-07EB6D131113}"/>
  </bookViews>
  <sheets>
    <sheet name="Iraq Expens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55" i="1" l="1"/>
  <c r="D52" i="1"/>
  <c r="D55" i="1" s="1"/>
  <c r="F42" i="1"/>
  <c r="F26" i="1"/>
  <c r="F29" i="1" s="1"/>
  <c r="F25" i="1"/>
  <c r="F24" i="1"/>
  <c r="F7" i="1"/>
  <c r="F17" i="1"/>
  <c r="F35" i="1"/>
  <c r="F33" i="1"/>
  <c r="F23" i="1"/>
  <c r="F22" i="1"/>
  <c r="F21" i="1"/>
  <c r="F4" i="1"/>
  <c r="D48" i="1"/>
  <c r="D35" i="1"/>
  <c r="D36" i="1"/>
  <c r="D40" i="1"/>
  <c r="D7" i="1"/>
  <c r="D34" i="1"/>
  <c r="D39" i="1"/>
  <c r="D33" i="1"/>
  <c r="D25" i="1"/>
  <c r="D26" i="1"/>
  <c r="D27" i="1"/>
  <c r="D23" i="1"/>
  <c r="D13" i="1"/>
  <c r="D14" i="1"/>
  <c r="D15" i="1"/>
  <c r="D12" i="1"/>
  <c r="D59" i="1" l="1"/>
  <c r="G59" i="1" s="1"/>
  <c r="F59" i="1"/>
  <c r="D29" i="1"/>
  <c r="D17" i="1"/>
  <c r="D4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tc={A03969C3-5C76-49EB-BEF4-A6670FE88B0D}</author>
    <author>tc={F5694886-7067-43C9-89E4-4552AA7BD8ED}</author>
  </authors>
  <commentList>
    <comment ref="D7" authorId="0" shapeId="0" xr:uid="{A03969C3-5C76-49EB-BEF4-A6670FE88B0D}">
      <text>
        <t>[Threaded comment]
Your version of Excel allows you to read this threaded comment; however, any edits to it will get removed if the file is opened in a newer version of Excel. Learn more: https://go.microsoft.com/fwlink/?linkid=870924
Comment:
    convert euros to usd</t>
      </text>
    </comment>
    <comment ref="F7" authorId="1" shapeId="0" xr:uid="{F5694886-7067-43C9-89E4-4552AA7BD8ED}">
      <text>
        <t>[Threaded comment]
Your version of Excel allows you to read this threaded comment; however, any edits to it will get removed if the file is opened in a newer version of Excel. Learn more: https://go.microsoft.com/fwlink/?linkid=870924
Comment:
    convert euros to usd</t>
      </text>
    </comment>
  </commentList>
</comments>
</file>

<file path=xl/sharedStrings.xml><?xml version="1.0" encoding="utf-8"?>
<sst xmlns="http://schemas.openxmlformats.org/spreadsheetml/2006/main" count="53" uniqueCount="48">
  <si>
    <t>Item</t>
  </si>
  <si>
    <t>Unit Cost</t>
  </si>
  <si>
    <t>Units</t>
  </si>
  <si>
    <t>Total Cost</t>
  </si>
  <si>
    <t>Travels</t>
  </si>
  <si>
    <t>Alirah</t>
  </si>
  <si>
    <t>Isra</t>
  </si>
  <si>
    <t>Mohamed</t>
  </si>
  <si>
    <t>Ahmed</t>
  </si>
  <si>
    <t>Sub-total</t>
  </si>
  <si>
    <t>i. Venue</t>
  </si>
  <si>
    <t>v. Stars Orbit (Lunch and coffee break)</t>
  </si>
  <si>
    <t>ii. IFMR Enumerators (Lunch and Cofee break)</t>
  </si>
  <si>
    <t>Enumeratot Training (4-7 Dec 2022)</t>
  </si>
  <si>
    <t>iii. IFMR Staff (DSA for 3 days)</t>
  </si>
  <si>
    <t>v. Stars Orbit (DSA for one day)</t>
  </si>
  <si>
    <t>v. Stars Orbit (Transportation for 2 days)</t>
  </si>
  <si>
    <t>Data Collection</t>
  </si>
  <si>
    <t>IFMR face-to-face</t>
  </si>
  <si>
    <t>i. Main questionnaire</t>
  </si>
  <si>
    <t>ii. Individual/gender based questionnaire</t>
  </si>
  <si>
    <t>i. Remote interviews</t>
  </si>
  <si>
    <t>Stars Orbit Remote</t>
  </si>
  <si>
    <t>Field Supervision</t>
  </si>
  <si>
    <t>ii. DSA for CO staff to Duhok</t>
  </si>
  <si>
    <t>i. DSA for CO staff to Suleimaniya</t>
  </si>
  <si>
    <t>Training of Trainers workshop</t>
  </si>
  <si>
    <t>i. Travel for Zun</t>
  </si>
  <si>
    <t>ii. Venue</t>
  </si>
  <si>
    <t>3 days</t>
  </si>
  <si>
    <t>???</t>
  </si>
  <si>
    <t>ii. IFMR Staff (Transportation for 4 days)</t>
  </si>
  <si>
    <t>Qualitative survey</t>
  </si>
  <si>
    <t>Overall Total</t>
  </si>
  <si>
    <t>ii. Logistics</t>
  </si>
  <si>
    <t>DSA for one day (extra night stay for indvidual and qualitative ToT)</t>
  </si>
  <si>
    <t xml:space="preserve">One day for training on indvidual and qualitaive </t>
  </si>
  <si>
    <t xml:space="preserve">One day extra for indvidual level training </t>
  </si>
  <si>
    <t xml:space="preserve">half of the cost for HH visit is due to gender component (invdidual interviews and cost of male an female enumertors for each visit (13+8=21) for each household visit </t>
  </si>
  <si>
    <t xml:space="preserve">iii. Analysis </t>
  </si>
  <si>
    <t xml:space="preserve">i. FGDs </t>
  </si>
  <si>
    <t xml:space="preserve">Gender Budget </t>
  </si>
  <si>
    <t>Log challenges</t>
  </si>
  <si>
    <t xml:space="preserve">Find female enumertors </t>
  </si>
  <si>
    <t>data collection went from 12 to 30 days (rotation of enmertors)</t>
  </si>
  <si>
    <t xml:space="preserve">finding females </t>
  </si>
  <si>
    <t xml:space="preserve">Analysis (quant) </t>
  </si>
  <si>
    <t xml:space="preserve">Sitting togther male and women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</si>
</sst>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8"/>
      <color rgb="FF32363A"/>
      <name val="Arial"/>
      <family val="2"/>
    </font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2">
    <xf numFmtId="0" fontId="0" fillId="0" borderId="0"/>
    <xf numFmtId="9" fontId="5" fillId="0" borderId="0" applyFont="0" applyFill="0" applyBorder="0" applyAlignment="0" applyProtection="0"/>
  </cellStyleXfs>
  <cellXfs count="14">
    <xf numFmtId="0" fontId="0" fillId="0" borderId="0" xfId="0"/>
    <xf numFmtId="4" fontId="0" fillId="0" borderId="0" xfId="0" applyNumberFormat="1"/>
    <xf numFmtId="0" fontId="3" fillId="0" borderId="0" xfId="0" applyFont="1" applyBorder="1" applyAlignment="1">
      <alignment vertical="center"/>
    </xf>
    <xf numFmtId="4" fontId="4" fillId="0" borderId="0" xfId="0" applyNumberFormat="1" applyFont="1" applyBorder="1" applyAlignment="1">
      <alignment horizontal="right" vertical="center"/>
    </xf>
    <xf numFmtId="0" fontId="2" fillId="0" borderId="0" xfId="0" applyFont="1"/>
    <xf numFmtId="0" fontId="2" fillId="0" borderId="1" xfId="0" applyFont="1" applyBorder="1"/>
    <xf numFmtId="3" fontId="0" fillId="0" borderId="0" xfId="0" applyNumberFormat="1"/>
    <xf numFmtId="0" fontId="1" fillId="0" borderId="0" xfId="0" applyFont="1"/>
    <xf numFmtId="0" fontId="0" fillId="2" borderId="0" xfId="0" applyFill="1"/>
    <xf numFmtId="4" fontId="0" fillId="2" borderId="0" xfId="0" applyNumberFormat="1" applyFill="1"/>
    <xf numFmtId="4" fontId="2" fillId="0" borderId="1" xfId="0" applyNumberFormat="1" applyFont="1" applyBorder="1"/>
    <xf numFmtId="3" fontId="6" fillId="0" borderId="1" xfId="0" applyNumberFormat="1" applyFont="1" applyBorder="1"/>
    <xf numFmtId="0" fontId="6" fillId="0" borderId="1" xfId="0" applyFont="1" applyBorder="1"/>
    <xf numFmtId="9" fontId="0" fillId="0" borderId="0" xfId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3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Alirah WEYORI" id="{DA6E588C-5887-4B50-A751-D305A99FBD5B}" userId="S::alirah.weyori@wfp.org::1c7cbaa8-91f0-4806-8632-e4be5028c1b4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7" dT="2023-01-12T09:32:37.88" personId="{DA6E588C-5887-4B50-A751-D305A99FBD5B}" id="{A03969C3-5C76-49EB-BEF4-A6670FE88B0D}">
    <text>convert euros to usd</text>
  </threadedComment>
  <threadedComment ref="F7" dT="2023-01-12T09:32:37.88" personId="{DA6E588C-5887-4B50-A751-D305A99FBD5B}" id="{F5694886-7067-43C9-89E4-4552AA7BD8ED}">
    <text>convert euros to usd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E6005A-3286-459C-B419-C0FC7BD0A75E}">
  <dimension ref="A1:J60"/>
  <sheetViews>
    <sheetView tabSelected="1" topLeftCell="A7" zoomScale="80" zoomScaleNormal="80" workbookViewId="0">
      <selection activeCell="C38" sqref="C38"/>
    </sheetView>
  </sheetViews>
  <sheetFormatPr defaultRowHeight="14.5" x14ac:dyDescent="0.35"/>
  <cols>
    <col min="1" max="1" width="50.81640625" bestFit="1" customWidth="1"/>
    <col min="3" max="3" width="8.54296875" bestFit="1" customWidth="1"/>
    <col min="4" max="4" width="9.26953125" bestFit="1" customWidth="1"/>
    <col min="5" max="5" width="17.26953125" customWidth="1"/>
    <col min="6" max="6" width="15.54296875" customWidth="1"/>
    <col min="7" max="7" width="26.36328125" customWidth="1"/>
    <col min="8" max="8" width="35.6328125" customWidth="1"/>
    <col min="9" max="9" width="16.26953125" bestFit="1" customWidth="1"/>
    <col min="10" max="10" width="17.36328125" bestFit="1" customWidth="1"/>
  </cols>
  <sheetData>
    <row r="1" spans="1:10" s="4" customFormat="1" x14ac:dyDescent="0.35">
      <c r="A1" s="4" t="s">
        <v>0</v>
      </c>
      <c r="B1" s="4" t="s">
        <v>2</v>
      </c>
      <c r="C1" s="4" t="s">
        <v>1</v>
      </c>
      <c r="D1" s="4" t="s">
        <v>3</v>
      </c>
      <c r="F1" s="4" t="s">
        <v>41</v>
      </c>
      <c r="H1" s="4" t="s">
        <v>42</v>
      </c>
      <c r="I1" s="4" t="s">
        <v>46</v>
      </c>
    </row>
    <row r="2" spans="1:10" x14ac:dyDescent="0.35">
      <c r="A2" t="s">
        <v>26</v>
      </c>
      <c r="H2" t="s">
        <v>43</v>
      </c>
      <c r="I2" s="2"/>
      <c r="J2" s="3"/>
    </row>
    <row r="3" spans="1:10" x14ac:dyDescent="0.35">
      <c r="A3" t="s">
        <v>27</v>
      </c>
      <c r="D3" s="6">
        <v>3176</v>
      </c>
      <c r="F3" s="7">
        <v>300</v>
      </c>
      <c r="G3" t="s">
        <v>35</v>
      </c>
      <c r="H3" t="s">
        <v>44</v>
      </c>
      <c r="I3" s="2"/>
      <c r="J3" s="3"/>
    </row>
    <row r="4" spans="1:10" x14ac:dyDescent="0.35">
      <c r="A4" t="s">
        <v>28</v>
      </c>
      <c r="B4" t="s">
        <v>29</v>
      </c>
      <c r="D4" s="6">
        <v>3444</v>
      </c>
      <c r="F4">
        <f>D4/3</f>
        <v>1148</v>
      </c>
      <c r="G4" t="s">
        <v>36</v>
      </c>
      <c r="H4" t="s">
        <v>45</v>
      </c>
      <c r="I4" s="2"/>
      <c r="J4" s="3"/>
    </row>
    <row r="5" spans="1:10" x14ac:dyDescent="0.35">
      <c r="H5" t="s">
        <v>47</v>
      </c>
      <c r="I5" s="2"/>
      <c r="J5" s="3"/>
    </row>
    <row r="7" spans="1:10" ht="15" thickBot="1" x14ac:dyDescent="0.4">
      <c r="A7" s="5" t="s">
        <v>9</v>
      </c>
      <c r="B7" s="5"/>
      <c r="C7" s="5"/>
      <c r="D7" s="11">
        <f>SUM(D3:D6)</f>
        <v>6620</v>
      </c>
      <c r="F7" s="11">
        <f>SUM(F3:F6)</f>
        <v>1448</v>
      </c>
    </row>
    <row r="8" spans="1:10" ht="15" thickTop="1" x14ac:dyDescent="0.35"/>
    <row r="11" spans="1:10" x14ac:dyDescent="0.35">
      <c r="A11" s="4" t="s">
        <v>4</v>
      </c>
    </row>
    <row r="12" spans="1:10" x14ac:dyDescent="0.35">
      <c r="A12" t="s">
        <v>8</v>
      </c>
      <c r="B12">
        <v>1</v>
      </c>
      <c r="C12">
        <v>2148.73</v>
      </c>
      <c r="D12">
        <f>+C12*B12</f>
        <v>2148.73</v>
      </c>
      <c r="F12">
        <v>179</v>
      </c>
      <c r="G12" t="s">
        <v>37</v>
      </c>
    </row>
    <row r="13" spans="1:10" x14ac:dyDescent="0.35">
      <c r="A13" t="s">
        <v>5</v>
      </c>
      <c r="B13">
        <v>1</v>
      </c>
      <c r="C13" s="1">
        <v>5039.53</v>
      </c>
      <c r="D13">
        <f t="shared" ref="D13:D15" si="0">+C13*B13</f>
        <v>5039.53</v>
      </c>
      <c r="F13">
        <v>179</v>
      </c>
    </row>
    <row r="14" spans="1:10" x14ac:dyDescent="0.35">
      <c r="A14" t="s">
        <v>6</v>
      </c>
      <c r="B14">
        <v>1</v>
      </c>
      <c r="C14" s="1">
        <v>3401.72</v>
      </c>
      <c r="D14">
        <f t="shared" si="0"/>
        <v>3401.72</v>
      </c>
      <c r="F14">
        <v>179</v>
      </c>
    </row>
    <row r="15" spans="1:10" x14ac:dyDescent="0.35">
      <c r="A15" t="s">
        <v>7</v>
      </c>
      <c r="B15">
        <v>1</v>
      </c>
      <c r="C15" s="1">
        <v>1740.16</v>
      </c>
      <c r="D15">
        <f t="shared" si="0"/>
        <v>1740.16</v>
      </c>
      <c r="F15">
        <v>179</v>
      </c>
    </row>
    <row r="17" spans="1:6" ht="15" thickBot="1" x14ac:dyDescent="0.4">
      <c r="A17" s="5" t="s">
        <v>9</v>
      </c>
      <c r="B17" s="5"/>
      <c r="C17" s="5"/>
      <c r="D17" s="5">
        <f>SUM(D12:D16)</f>
        <v>12330.14</v>
      </c>
      <c r="F17" s="5">
        <f>SUM(F12:F16)</f>
        <v>716</v>
      </c>
    </row>
    <row r="18" spans="1:6" ht="15" thickTop="1" x14ac:dyDescent="0.35"/>
    <row r="19" spans="1:6" x14ac:dyDescent="0.35">
      <c r="A19" s="4" t="s">
        <v>13</v>
      </c>
    </row>
    <row r="20" spans="1:6" x14ac:dyDescent="0.35">
      <c r="A20" s="8" t="s">
        <v>10</v>
      </c>
      <c r="B20" s="8">
        <v>1</v>
      </c>
      <c r="C20" s="8"/>
      <c r="D20" s="9">
        <v>3702.6</v>
      </c>
      <c r="E20" s="7" t="s">
        <v>30</v>
      </c>
    </row>
    <row r="21" spans="1:6" x14ac:dyDescent="0.35">
      <c r="A21" t="s">
        <v>12</v>
      </c>
      <c r="B21">
        <v>4</v>
      </c>
      <c r="D21" s="1">
        <v>3216.4</v>
      </c>
      <c r="F21">
        <f>D21/4</f>
        <v>804.1</v>
      </c>
    </row>
    <row r="22" spans="1:6" x14ac:dyDescent="0.35">
      <c r="A22" t="s">
        <v>31</v>
      </c>
      <c r="D22">
        <v>0</v>
      </c>
      <c r="F22">
        <f t="shared" ref="F22:F25" si="1">D22/4</f>
        <v>0</v>
      </c>
    </row>
    <row r="23" spans="1:6" x14ac:dyDescent="0.35">
      <c r="A23" t="s">
        <v>14</v>
      </c>
      <c r="D23">
        <f t="shared" ref="D23:D27" si="2">+C23*B23</f>
        <v>0</v>
      </c>
      <c r="F23">
        <f>D23/3</f>
        <v>0</v>
      </c>
    </row>
    <row r="24" spans="1:6" x14ac:dyDescent="0.35">
      <c r="A24" t="s">
        <v>11</v>
      </c>
      <c r="B24">
        <v>2</v>
      </c>
      <c r="D24">
        <v>435.6</v>
      </c>
      <c r="F24">
        <f>D24/4</f>
        <v>108.9</v>
      </c>
    </row>
    <row r="25" spans="1:6" x14ac:dyDescent="0.35">
      <c r="A25" t="s">
        <v>16</v>
      </c>
      <c r="D25">
        <f>+C25*B25</f>
        <v>0</v>
      </c>
      <c r="F25">
        <f t="shared" si="1"/>
        <v>0</v>
      </c>
    </row>
    <row r="26" spans="1:6" x14ac:dyDescent="0.35">
      <c r="A26" t="s">
        <v>15</v>
      </c>
      <c r="D26">
        <f t="shared" si="2"/>
        <v>0</v>
      </c>
      <c r="F26">
        <f>D26/3</f>
        <v>0</v>
      </c>
    </row>
    <row r="27" spans="1:6" x14ac:dyDescent="0.35">
      <c r="D27">
        <f t="shared" si="2"/>
        <v>0</v>
      </c>
    </row>
    <row r="29" spans="1:6" ht="15" thickBot="1" x14ac:dyDescent="0.4">
      <c r="A29" s="5" t="s">
        <v>9</v>
      </c>
      <c r="B29" s="5"/>
      <c r="C29" s="5"/>
      <c r="D29" s="10">
        <f>SUM(D21:D28)</f>
        <v>3652</v>
      </c>
      <c r="F29" s="10">
        <f>SUM(F21:F28)</f>
        <v>913</v>
      </c>
    </row>
    <row r="30" spans="1:6" ht="15" thickTop="1" x14ac:dyDescent="0.35"/>
    <row r="31" spans="1:6" x14ac:dyDescent="0.35">
      <c r="A31" s="4" t="s">
        <v>17</v>
      </c>
    </row>
    <row r="32" spans="1:6" x14ac:dyDescent="0.35">
      <c r="A32" t="s">
        <v>18</v>
      </c>
    </row>
    <row r="33" spans="1:7" x14ac:dyDescent="0.35">
      <c r="A33" t="s">
        <v>19</v>
      </c>
      <c r="B33">
        <v>320</v>
      </c>
      <c r="C33">
        <v>13</v>
      </c>
      <c r="D33">
        <f>+C33*B33</f>
        <v>4160</v>
      </c>
      <c r="F33">
        <f>(D33+D34)/2</f>
        <v>3360</v>
      </c>
      <c r="G33" t="s">
        <v>38</v>
      </c>
    </row>
    <row r="34" spans="1:7" x14ac:dyDescent="0.35">
      <c r="A34" t="s">
        <v>20</v>
      </c>
      <c r="B34">
        <v>320</v>
      </c>
      <c r="C34">
        <v>8</v>
      </c>
      <c r="D34">
        <f t="shared" ref="D34:D39" si="3">+C34*B34</f>
        <v>2560</v>
      </c>
    </row>
    <row r="35" spans="1:7" x14ac:dyDescent="0.35">
      <c r="B35" s="7">
        <v>320</v>
      </c>
      <c r="C35" s="7">
        <v>13</v>
      </c>
      <c r="D35" s="7">
        <f>+C35*B35</f>
        <v>4160</v>
      </c>
      <c r="F35">
        <f>(D35+D36)/2</f>
        <v>3360</v>
      </c>
    </row>
    <row r="36" spans="1:7" x14ac:dyDescent="0.35">
      <c r="B36" s="7">
        <v>320</v>
      </c>
      <c r="C36" s="7">
        <v>8</v>
      </c>
      <c r="D36" s="7">
        <f t="shared" ref="D36" si="4">+C36*B36</f>
        <v>2560</v>
      </c>
    </row>
    <row r="38" spans="1:7" x14ac:dyDescent="0.35">
      <c r="A38" s="4" t="s">
        <v>22</v>
      </c>
    </row>
    <row r="39" spans="1:7" x14ac:dyDescent="0.35">
      <c r="A39" t="s">
        <v>21</v>
      </c>
      <c r="B39">
        <v>310</v>
      </c>
      <c r="C39">
        <v>7.5</v>
      </c>
      <c r="D39">
        <f t="shared" si="3"/>
        <v>2325</v>
      </c>
    </row>
    <row r="40" spans="1:7" x14ac:dyDescent="0.35">
      <c r="B40" s="7">
        <v>310</v>
      </c>
      <c r="C40" s="7">
        <v>7.5</v>
      </c>
      <c r="D40" s="7">
        <f t="shared" ref="D40" si="5">+C40*B40</f>
        <v>2325</v>
      </c>
    </row>
    <row r="42" spans="1:7" ht="15" thickBot="1" x14ac:dyDescent="0.4">
      <c r="A42" s="5" t="s">
        <v>9</v>
      </c>
      <c r="B42" s="5"/>
      <c r="C42" s="5"/>
      <c r="D42" s="5">
        <f>SUM(D33:D41)</f>
        <v>18090</v>
      </c>
      <c r="F42" s="5">
        <f>SUM(F33:F41)</f>
        <v>6720</v>
      </c>
    </row>
    <row r="43" spans="1:7" ht="15" thickTop="1" x14ac:dyDescent="0.35"/>
    <row r="44" spans="1:7" x14ac:dyDescent="0.35">
      <c r="A44" t="s">
        <v>23</v>
      </c>
    </row>
    <row r="45" spans="1:7" x14ac:dyDescent="0.35">
      <c r="A45" t="s">
        <v>25</v>
      </c>
    </row>
    <row r="46" spans="1:7" x14ac:dyDescent="0.35">
      <c r="A46" t="s">
        <v>24</v>
      </c>
    </row>
    <row r="48" spans="1:7" ht="15" thickBot="1" x14ac:dyDescent="0.4">
      <c r="A48" s="5" t="s">
        <v>9</v>
      </c>
      <c r="B48" s="5"/>
      <c r="C48" s="5"/>
      <c r="D48" s="5">
        <f>SUM(D45:D46)</f>
        <v>0</v>
      </c>
    </row>
    <row r="49" spans="1:7" ht="15" thickTop="1" x14ac:dyDescent="0.35"/>
    <row r="51" spans="1:7" x14ac:dyDescent="0.35">
      <c r="A51" t="s">
        <v>32</v>
      </c>
    </row>
    <row r="52" spans="1:7" x14ac:dyDescent="0.35">
      <c r="A52" t="s">
        <v>40</v>
      </c>
      <c r="B52" s="7">
        <v>8</v>
      </c>
      <c r="C52" s="7">
        <v>200</v>
      </c>
      <c r="D52" s="7">
        <f>B52*C52</f>
        <v>1600</v>
      </c>
      <c r="E52" s="7"/>
    </row>
    <row r="53" spans="1:7" x14ac:dyDescent="0.35">
      <c r="A53" t="s">
        <v>34</v>
      </c>
    </row>
    <row r="54" spans="1:7" x14ac:dyDescent="0.35">
      <c r="A54" t="s">
        <v>39</v>
      </c>
    </row>
    <row r="55" spans="1:7" ht="15" thickBot="1" x14ac:dyDescent="0.4">
      <c r="A55" s="5" t="s">
        <v>9</v>
      </c>
      <c r="B55" s="5"/>
      <c r="C55" s="5"/>
      <c r="D55" s="12">
        <f>SUM(D52:D53)</f>
        <v>1600</v>
      </c>
      <c r="F55">
        <f>D55</f>
        <v>1600</v>
      </c>
    </row>
    <row r="56" spans="1:7" ht="15" thickTop="1" x14ac:dyDescent="0.35"/>
    <row r="59" spans="1:7" ht="15" thickBot="1" x14ac:dyDescent="0.4">
      <c r="A59" s="5" t="s">
        <v>33</v>
      </c>
      <c r="B59" s="5"/>
      <c r="C59" s="5"/>
      <c r="D59" s="5">
        <f>SUM(D42,D29,D17,D7,D48,D55)</f>
        <v>42292.14</v>
      </c>
      <c r="F59" s="5">
        <f>SUM(F42,F29,F17,F7,F48,F55)</f>
        <v>11397</v>
      </c>
      <c r="G59" s="13">
        <f>F59/D59</f>
        <v>0.26948269820349596</v>
      </c>
    </row>
    <row r="60" spans="1:7" ht="15" thickTop="1" x14ac:dyDescent="0.35"/>
  </sheetData>
  <pageMargins left="0.7" right="0.7" top="0.75" bottom="0.75" header="0.3" footer="0.3"/>
  <pageSetup paperSize="9" orientation="portrait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7EC5AEA005F3944B5281CE0F7F3B6DF" ma:contentTypeVersion="19" ma:contentTypeDescription="Create a new document." ma:contentTypeScope="" ma:versionID="43cac7850c215b99b189dd42ff5381b4">
  <xsd:schema xmlns:xsd="http://www.w3.org/2001/XMLSchema" xmlns:xs="http://www.w3.org/2001/XMLSchema" xmlns:p="http://schemas.microsoft.com/office/2006/metadata/properties" xmlns:ns2="49256dcf-74b5-4e0f-b2ab-e17546be8a80" xmlns:ns3="3940b711-dc1d-4235-b0a5-48d487f0d3b9" targetNamespace="http://schemas.microsoft.com/office/2006/metadata/properties" ma:root="true" ma:fieldsID="7f3b09dd81f609e653ddad0159f4af65" ns2:_="" ns3:_="">
    <xsd:import namespace="49256dcf-74b5-4e0f-b2ab-e17546be8a80"/>
    <xsd:import namespace="3940b711-dc1d-4235-b0a5-48d487f0d3b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Not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256dcf-74b5-4e0f-b2ab-e17546be8a8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5acc4dc2-1d7d-4ba2-9bc5-748c4ad50a6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Notes" ma:index="26" nillable="true" ma:displayName="Notes" ma:description="Describe what this folder should contain" ma:format="Dropdown" ma:internalName="Notes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40b711-dc1d-4235-b0a5-48d487f0d3b9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517c2faf-511a-483c-a677-1ab92e51de83}" ma:internalName="TaxCatchAll" ma:showField="CatchAllData" ma:web="3940b711-dc1d-4235-b0a5-48d487f0d3b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940b711-dc1d-4235-b0a5-48d487f0d3b9" xsi:nil="true"/>
    <lcf76f155ced4ddcb4097134ff3c332f xmlns="49256dcf-74b5-4e0f-b2ab-e17546be8a80">
      <Terms xmlns="http://schemas.microsoft.com/office/infopath/2007/PartnerControls"/>
    </lcf76f155ced4ddcb4097134ff3c332f>
    <Notes xmlns="49256dcf-74b5-4e0f-b2ab-e17546be8a80" xsi:nil="true"/>
  </documentManagement>
</p:properties>
</file>

<file path=customXml/itemProps1.xml><?xml version="1.0" encoding="utf-8"?>
<ds:datastoreItem xmlns:ds="http://schemas.openxmlformats.org/officeDocument/2006/customXml" ds:itemID="{218F628B-3AFA-4139-8B86-6E39BAC93BDA}"/>
</file>

<file path=customXml/itemProps2.xml><?xml version="1.0" encoding="utf-8"?>
<ds:datastoreItem xmlns:ds="http://schemas.openxmlformats.org/officeDocument/2006/customXml" ds:itemID="{50F06EE8-5EA2-443D-8C4A-815E3075035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230AAE7-FCE0-4B2A-81B6-11F0DD358610}">
  <ds:schemaRefs>
    <ds:schemaRef ds:uri="http://schemas.microsoft.com/office/2006/metadata/properties"/>
    <ds:schemaRef ds:uri="http://schemas.microsoft.com/office/infopath/2007/PartnerControls"/>
    <ds:schemaRef ds:uri="3940b711-dc1d-4235-b0a5-48d487f0d3b9"/>
    <ds:schemaRef ds:uri="49256dcf-74b5-4e0f-b2ab-e17546be8a80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Iraq Expenses</vt:lpstr>
    </vt:vector>
  </TitlesOfParts>
  <Company>World Food Programme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WEYORI Alirah</dc:creator>
  <cp:lastModifiedBy>Alirah WEYORI</cp:lastModifiedBy>
  <dcterms:created xsi:type="dcterms:W3CDTF">2022-12-28T22:32:52Z</dcterms:created>
  <dcterms:modified xsi:type="dcterms:W3CDTF">2023-01-12T13:26:02Z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0x01010007EC5AEA005F3944B5281CE0F7F3B6DF</vt:lpwstr>
  </property>
</Properties>
</file>