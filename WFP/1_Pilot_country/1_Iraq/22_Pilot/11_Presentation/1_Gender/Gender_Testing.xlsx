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worksheets/sheet3.xml" ContentType="application/vnd.openxmlformats-officedocument.spreadsheetml.worksheet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1_Iraq/11_Presentation/1_Gender/"/>
    </mc:Choice>
  </mc:AlternateContent>
  <xr:revisionPtr revIDLastSave="161" documentId="8_{5AB84DDE-ED09-4525-B4CF-0BCB50A9103D}" xr6:coauthVersionLast="47" xr6:coauthVersionMax="47" xr10:uidLastSave="{C7C08777-E928-6347-9B72-4C39E23655CD}"/>
  <bookViews>
    <workbookView xWindow="0" yWindow="860" windowWidth="34200" windowHeight="19700" firstSheet="1" activeTab="4" xr2:uid="{BF3AFDA5-13DB-41A2-ADCD-8DAACF93672B}"/>
  </bookViews>
  <sheets>
    <sheet name="Somalia" sheetId="1" r:id="rId1"/>
    <sheet name="Sheet1" sheetId="6" r:id="rId2"/>
    <sheet name="Zimbabwe" sheetId="2" r:id="rId3"/>
    <sheet name="Malawi" sheetId="3" r:id="rId4"/>
    <sheet name="Angol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3" i="3"/>
  <c r="E61" i="5"/>
  <c r="D61" i="5"/>
  <c r="C61" i="5"/>
  <c r="B61" i="5"/>
  <c r="E59" i="5"/>
  <c r="D59" i="5"/>
  <c r="C59" i="5"/>
  <c r="B59" i="5"/>
  <c r="E57" i="5"/>
  <c r="D57" i="5"/>
  <c r="C57" i="5"/>
  <c r="B57" i="5"/>
  <c r="E55" i="5"/>
  <c r="D55" i="5"/>
  <c r="C55" i="5"/>
  <c r="B55" i="5"/>
  <c r="E53" i="5"/>
  <c r="D53" i="5"/>
  <c r="C53" i="5"/>
  <c r="B53" i="5"/>
  <c r="E51" i="5"/>
  <c r="D51" i="5"/>
  <c r="C51" i="5"/>
  <c r="B51" i="5"/>
  <c r="E37" i="5"/>
  <c r="D37" i="5"/>
  <c r="C37" i="5"/>
  <c r="B37" i="5"/>
  <c r="E35" i="5"/>
  <c r="D35" i="5"/>
  <c r="C35" i="5"/>
  <c r="B35" i="5"/>
  <c r="E33" i="5"/>
  <c r="D33" i="5"/>
  <c r="C33" i="5"/>
  <c r="B33" i="5"/>
  <c r="E31" i="5"/>
  <c r="D31" i="5"/>
  <c r="C31" i="5"/>
  <c r="B31" i="5"/>
  <c r="E29" i="5"/>
  <c r="D29" i="5"/>
  <c r="C29" i="5"/>
  <c r="B29" i="5"/>
  <c r="E27" i="5"/>
  <c r="D27" i="5"/>
  <c r="C27" i="5"/>
  <c r="B27" i="5"/>
  <c r="E15" i="5"/>
  <c r="D15" i="5"/>
  <c r="C15" i="5"/>
  <c r="B15" i="5"/>
  <c r="E13" i="5"/>
  <c r="D13" i="5"/>
  <c r="C13" i="5"/>
  <c r="B13" i="5"/>
  <c r="E11" i="5"/>
  <c r="D11" i="5"/>
  <c r="C11" i="5"/>
  <c r="B11" i="5"/>
  <c r="J4" i="5"/>
  <c r="I4" i="5"/>
  <c r="D4" i="5"/>
  <c r="L4" i="5" s="1"/>
  <c r="C4" i="5"/>
  <c r="J3" i="5"/>
  <c r="I3" i="5"/>
  <c r="D3" i="5"/>
  <c r="C3" i="5"/>
  <c r="E27" i="3"/>
  <c r="E29" i="3"/>
  <c r="E31" i="3"/>
  <c r="E61" i="3"/>
  <c r="D61" i="3"/>
  <c r="C61" i="3"/>
  <c r="B61" i="3"/>
  <c r="E59" i="3"/>
  <c r="D59" i="3"/>
  <c r="C59" i="3"/>
  <c r="B59" i="3"/>
  <c r="E57" i="3"/>
  <c r="D57" i="3"/>
  <c r="C57" i="3"/>
  <c r="B57" i="3"/>
  <c r="E55" i="3"/>
  <c r="D55" i="3"/>
  <c r="C55" i="3"/>
  <c r="B55" i="3"/>
  <c r="E53" i="3"/>
  <c r="D53" i="3"/>
  <c r="C53" i="3"/>
  <c r="B53" i="3"/>
  <c r="E51" i="3"/>
  <c r="D51" i="3"/>
  <c r="C51" i="3"/>
  <c r="B51" i="3"/>
  <c r="E37" i="3"/>
  <c r="D37" i="3"/>
  <c r="C37" i="3"/>
  <c r="B37" i="3"/>
  <c r="E35" i="3"/>
  <c r="D35" i="3"/>
  <c r="C35" i="3"/>
  <c r="B35" i="3"/>
  <c r="E33" i="3"/>
  <c r="D33" i="3"/>
  <c r="C33" i="3"/>
  <c r="B33" i="3"/>
  <c r="D31" i="3"/>
  <c r="C31" i="3"/>
  <c r="B31" i="3"/>
  <c r="D29" i="3"/>
  <c r="C29" i="3"/>
  <c r="B29" i="3"/>
  <c r="D27" i="3"/>
  <c r="C27" i="3"/>
  <c r="B27" i="3"/>
  <c r="E15" i="3"/>
  <c r="D15" i="3"/>
  <c r="C15" i="3"/>
  <c r="B15" i="3"/>
  <c r="E13" i="3"/>
  <c r="D13" i="3"/>
  <c r="C13" i="3"/>
  <c r="B13" i="3"/>
  <c r="E11" i="3"/>
  <c r="D11" i="3"/>
  <c r="C11" i="3"/>
  <c r="B11" i="3"/>
  <c r="J4" i="3"/>
  <c r="I4" i="3"/>
  <c r="C4" i="3"/>
  <c r="J3" i="3"/>
  <c r="I3" i="3"/>
  <c r="C3" i="3"/>
  <c r="E61" i="1"/>
  <c r="E59" i="1"/>
  <c r="E57" i="1"/>
  <c r="E55" i="1"/>
  <c r="E53" i="1"/>
  <c r="E51" i="1"/>
  <c r="E26" i="1"/>
  <c r="E36" i="1"/>
  <c r="E34" i="1"/>
  <c r="E32" i="1"/>
  <c r="E30" i="1"/>
  <c r="E28" i="1"/>
  <c r="E14" i="1"/>
  <c r="E12" i="1"/>
  <c r="E10" i="1"/>
  <c r="D3" i="1"/>
  <c r="L3" i="1" s="1"/>
  <c r="D4" i="1"/>
  <c r="L4" i="1" s="1"/>
  <c r="L3" i="2"/>
  <c r="J3" i="2"/>
  <c r="D3" i="2"/>
  <c r="E61" i="2"/>
  <c r="E59" i="2"/>
  <c r="E57" i="2"/>
  <c r="E55" i="2"/>
  <c r="E53" i="2"/>
  <c r="E51" i="2"/>
  <c r="E37" i="2"/>
  <c r="E35" i="2"/>
  <c r="E33" i="2"/>
  <c r="E31" i="2"/>
  <c r="E29" i="2"/>
  <c r="E27" i="2"/>
  <c r="E11" i="2"/>
  <c r="E15" i="2"/>
  <c r="E13" i="2"/>
  <c r="C61" i="2"/>
  <c r="D61" i="2"/>
  <c r="B61" i="2"/>
  <c r="C59" i="2"/>
  <c r="D59" i="2"/>
  <c r="B59" i="2"/>
  <c r="C57" i="2"/>
  <c r="D57" i="2"/>
  <c r="B57" i="2"/>
  <c r="C55" i="2"/>
  <c r="D55" i="2"/>
  <c r="B55" i="2"/>
  <c r="C53" i="2"/>
  <c r="D53" i="2"/>
  <c r="B53" i="2"/>
  <c r="C51" i="2"/>
  <c r="D51" i="2"/>
  <c r="B51" i="2"/>
  <c r="C37" i="2"/>
  <c r="D37" i="2"/>
  <c r="B37" i="2"/>
  <c r="C35" i="2"/>
  <c r="D35" i="2"/>
  <c r="B35" i="2"/>
  <c r="C33" i="2"/>
  <c r="D33" i="2"/>
  <c r="B33" i="2"/>
  <c r="C31" i="2"/>
  <c r="D31" i="2"/>
  <c r="B31" i="2"/>
  <c r="C29" i="2"/>
  <c r="D29" i="2"/>
  <c r="B29" i="2"/>
  <c r="C27" i="2"/>
  <c r="D27" i="2"/>
  <c r="B27" i="2"/>
  <c r="C15" i="2"/>
  <c r="D15" i="2"/>
  <c r="C13" i="2"/>
  <c r="D13" i="2"/>
  <c r="C11" i="2"/>
  <c r="D11" i="2"/>
  <c r="B15" i="2"/>
  <c r="B13" i="2"/>
  <c r="B11" i="2"/>
  <c r="J4" i="2"/>
  <c r="D4" i="2"/>
  <c r="I4" i="2"/>
  <c r="I3" i="2"/>
  <c r="C4" i="2"/>
  <c r="C3" i="2"/>
  <c r="C61" i="1"/>
  <c r="D61" i="1"/>
  <c r="C59" i="1"/>
  <c r="D59" i="1"/>
  <c r="C57" i="1"/>
  <c r="D57" i="1"/>
  <c r="C55" i="1"/>
  <c r="D55" i="1"/>
  <c r="C53" i="1"/>
  <c r="D53" i="1"/>
  <c r="C51" i="1"/>
  <c r="D51" i="1"/>
  <c r="B61" i="1"/>
  <c r="B59" i="1"/>
  <c r="B57" i="1"/>
  <c r="B55" i="1"/>
  <c r="B53" i="1"/>
  <c r="B51" i="1"/>
  <c r="C36" i="1"/>
  <c r="D36" i="1"/>
  <c r="C34" i="1"/>
  <c r="D34" i="1"/>
  <c r="C32" i="1"/>
  <c r="D32" i="1"/>
  <c r="C30" i="1"/>
  <c r="D30" i="1"/>
  <c r="C28" i="1"/>
  <c r="D28" i="1"/>
  <c r="C26" i="1"/>
  <c r="D26" i="1"/>
  <c r="B36" i="1"/>
  <c r="B34" i="1"/>
  <c r="B32" i="1"/>
  <c r="B30" i="1"/>
  <c r="B28" i="1"/>
  <c r="B26" i="1"/>
  <c r="C14" i="1"/>
  <c r="D14" i="1"/>
  <c r="C12" i="1"/>
  <c r="D12" i="1"/>
  <c r="C10" i="1"/>
  <c r="D10" i="1"/>
  <c r="B14" i="1"/>
  <c r="B12" i="1"/>
  <c r="B10" i="1"/>
  <c r="C4" i="1"/>
  <c r="C3" i="1"/>
  <c r="L3" i="5" l="1"/>
  <c r="L3" i="3"/>
  <c r="L4" i="3"/>
  <c r="L4" i="2"/>
</calcChain>
</file>

<file path=xl/sharedStrings.xml><?xml version="1.0" encoding="utf-8"?>
<sst xmlns="http://schemas.openxmlformats.org/spreadsheetml/2006/main" count="369" uniqueCount="40">
  <si>
    <t>Timeline January 1st 2022 to March 21 2023</t>
  </si>
  <si>
    <t>Population 2022 (Unavailable-waiting for CO)</t>
  </si>
  <si>
    <t>Assuming 50% for each Gender</t>
  </si>
  <si>
    <t>RESPSex</t>
  </si>
  <si>
    <t>Freq.</t>
  </si>
  <si>
    <t>Percentage</t>
  </si>
  <si>
    <t>Weight</t>
  </si>
  <si>
    <t>Sex</t>
  </si>
  <si>
    <t>Percent</t>
  </si>
  <si>
    <t>Resp Sex Weights</t>
  </si>
  <si>
    <t>Female</t>
  </si>
  <si>
    <t>Male</t>
  </si>
  <si>
    <t>Total</t>
  </si>
  <si>
    <t>rCSIMealAdult_Wh</t>
  </si>
  <si>
    <t>Overall</t>
  </si>
  <si>
    <t>Overall Unweighted</t>
  </si>
  <si>
    <t>Overall Weighted RespSex</t>
  </si>
  <si>
    <t>adultFemale</t>
  </si>
  <si>
    <t>adultMale</t>
  </si>
  <si>
    <t>allAdultsEqually</t>
  </si>
  <si>
    <t>Adult Female</t>
  </si>
  <si>
    <t>Adult Male</t>
  </si>
  <si>
    <t>All Adults Equally</t>
  </si>
  <si>
    <t>rCSIMealNb_Who</t>
  </si>
  <si>
    <t>allMembersEqually</t>
  </si>
  <si>
    <t>childrenYouthFemale</t>
  </si>
  <si>
    <t>childrenYouthMale</t>
  </si>
  <si>
    <t>All Members Equally</t>
  </si>
  <si>
    <t>rCSIMealSize_Who</t>
  </si>
  <si>
    <t>Somalia</t>
  </si>
  <si>
    <t>Zimbabwe</t>
  </si>
  <si>
    <t>Malawi</t>
  </si>
  <si>
    <t>Angola</t>
  </si>
  <si>
    <t>Timeline January 26 2022 to March 27 2023</t>
  </si>
  <si>
    <t xml:space="preserve">Population 2022 </t>
  </si>
  <si>
    <t>Total unweighted</t>
  </si>
  <si>
    <t>Tota Weighted RespSex</t>
  </si>
  <si>
    <t xml:space="preserve">Overall </t>
  </si>
  <si>
    <t>Timeline February 6 2022 to March 29 2023</t>
  </si>
  <si>
    <t>Population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</si>
</sst>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0" fontId="0" fillId="0" borderId="1" xfId="0" applyBorder="1"/>
    <xf numFmtId="3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vertical="center"/>
    </xf>
    <xf numFmtId="9" fontId="0" fillId="0" borderId="1" xfId="1" applyFont="1" applyBorder="1"/>
    <xf numFmtId="164" fontId="0" fillId="0" borderId="0" xfId="0" applyNumberFormat="1"/>
    <xf numFmtId="4" fontId="0" fillId="0" borderId="0" xfId="0" applyNumberFormat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5192D"/>
      <color rgb="FF19486A"/>
      <color rgb="FF0A6EB4"/>
      <color rgb="FF26BD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rCSI - Who Reduced Number of Meal Adults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Somalia!$A$18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Somalia!$B$17:$C$17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Somalia!$B$18:$C$18</c:f>
              <c:numCache>
                <c:formatCode>0%</c:formatCode>
                <c:ptCount val="2"/>
                <c:pt idx="0">
                  <c:v>0.24908536585365854</c:v>
                </c:pt>
                <c:pt idx="1">
                  <c:v>0.23448451637568499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3-41C5-9987-D561F3CEFB18}"/>
            </c:ext>
          </c:extLst>
        </c:ser>
        <c:ser>
          <c:idx val="1"/>
          <c:order val="1"/>
          <c:tx>
            <c:strRef>
              <c:f>Somalia!$A$19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Somalia!$B$17:$C$17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Somalia!$B$19:$C$19</c:f>
              <c:numCache>
                <c:formatCode>0%</c:formatCode>
                <c:ptCount val="2"/>
                <c:pt idx="0">
                  <c:v>8.9329268292682923E-2</c:v>
                </c:pt>
                <c:pt idx="1">
                  <c:v>0.36217662801070472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3-41C5-9987-D561F3CEFB18}"/>
            </c:ext>
          </c:extLst>
        </c:ser>
        <c:ser>
          <c:idx val="2"/>
          <c:order val="2"/>
          <c:tx>
            <c:strRef>
              <c:f>Somalia!$A$20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Somalia!$B$17:$C$17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Somalia!$B$20:$C$20</c:f>
              <c:numCache>
                <c:formatCode>0%</c:formatCode>
                <c:ptCount val="2"/>
                <c:pt idx="0">
                  <c:v>0.66158536585365857</c:v>
                </c:pt>
                <c:pt idx="1">
                  <c:v>0.40333885561361027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3-41C5-9987-D561F3CEFB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3299119"/>
        <c:axId val="1883297455"/>
      </c:barChart>
      <c:catAx>
        <c:axId val="18832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97455"/>
        <c:crosses val="autoZero"/>
        <c:auto val="1"/>
        <c:lblAlgn val="ctr"/>
        <c:lblOffset val="100"/>
        <c:noMultiLvlLbl val="0"/>
      </c:catAx>
      <c:valAx>
        <c:axId val="18832974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9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rCSI - Who Reduced Number of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Somalia!$A$40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Somalia!$B$39:$C$39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Somalia!$B$40:$C$40</c:f>
              <c:numCache>
                <c:formatCode>0%</c:formatCode>
                <c:ptCount val="2"/>
                <c:pt idx="0">
                  <c:v>0.24623475974181211</c:v>
                </c:pt>
                <c:pt idx="1">
                  <c:v>0.31799581704101121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2-4B41-87AE-B6D1499608AD}"/>
            </c:ext>
          </c:extLst>
        </c:ser>
        <c:ser>
          <c:idx val="1"/>
          <c:order val="1"/>
          <c:tx>
            <c:strRef>
              <c:f>Somalia!$A$41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Somalia!$B$39:$C$39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Somalia!$B$41:$C$41</c:f>
              <c:numCache>
                <c:formatCode>0%</c:formatCode>
                <c:ptCount val="2"/>
                <c:pt idx="0">
                  <c:v>7.1718862060721963E-2</c:v>
                </c:pt>
                <c:pt idx="1">
                  <c:v>0.28726016186232611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2-4B41-87AE-B6D1499608AD}"/>
            </c:ext>
          </c:extLst>
        </c:ser>
        <c:ser>
          <c:idx val="2"/>
          <c:order val="2"/>
          <c:tx>
            <c:strRef>
              <c:f>Somalia!$A$42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Somalia!$B$39:$C$39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Somalia!$B$42:$C$42</c:f>
              <c:numCache>
                <c:formatCode>0%</c:formatCode>
                <c:ptCount val="2"/>
                <c:pt idx="0">
                  <c:v>0.47143198661247909</c:v>
                </c:pt>
                <c:pt idx="1">
                  <c:v>0.29935436937346549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2-4B41-87AE-B6D1499608AD}"/>
            </c:ext>
          </c:extLst>
        </c:ser>
        <c:ser>
          <c:idx val="3"/>
          <c:order val="3"/>
          <c:tx>
            <c:strRef>
              <c:f>Somalia!$A$43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Somalia!$B$39:$C$39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Somalia!$B$43:$C$43</c:f>
              <c:numCache>
                <c:formatCode>0%</c:formatCode>
                <c:ptCount val="2"/>
                <c:pt idx="0">
                  <c:v>0.20941907721730815</c:v>
                </c:pt>
                <c:pt idx="1">
                  <c:v>9.4571246703646444E-2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F2-4B41-87AE-B6D1499608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61901071"/>
        <c:axId val="2033835423"/>
      </c:barChart>
      <c:catAx>
        <c:axId val="176190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35423"/>
        <c:crosses val="autoZero"/>
        <c:auto val="1"/>
        <c:lblAlgn val="ctr"/>
        <c:lblOffset val="100"/>
        <c:noMultiLvlLbl val="0"/>
      </c:catAx>
      <c:valAx>
        <c:axId val="203383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0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rCSI - Who Reduced Meal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Somalia!$A$65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Somalia!$B$65:$C$65</c:f>
              <c:numCache>
                <c:formatCode>0%</c:formatCode>
                <c:ptCount val="2"/>
                <c:pt idx="0">
                  <c:v>0.269621039552702</c:v>
                </c:pt>
                <c:pt idx="1">
                  <c:v>0.31039136302294196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47BB-A8F7-273D80717CE0}"/>
            </c:ext>
          </c:extLst>
        </c:ser>
        <c:ser>
          <c:idx val="1"/>
          <c:order val="1"/>
          <c:tx>
            <c:strRef>
              <c:f>Somalia!$A$66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Somalia!$B$66:$C$66</c:f>
              <c:numCache>
                <c:formatCode>0%</c:formatCode>
                <c:ptCount val="2"/>
                <c:pt idx="0">
                  <c:v>6.5437978877614419E-2</c:v>
                </c:pt>
                <c:pt idx="1">
                  <c:v>0.22840755735492577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3-47BB-A8F7-273D80717CE0}"/>
            </c:ext>
          </c:extLst>
        </c:ser>
        <c:ser>
          <c:idx val="2"/>
          <c:order val="2"/>
          <c:tx>
            <c:strRef>
              <c:f>Somalia!$A$67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Somalia!$B$67:$C$67</c:f>
              <c:numCache>
                <c:formatCode>0%</c:formatCode>
                <c:ptCount val="2"/>
                <c:pt idx="0">
                  <c:v>0.44729757713812385</c:v>
                </c:pt>
                <c:pt idx="1">
                  <c:v>0.33864709851551955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3-47BB-A8F7-273D80717CE0}"/>
            </c:ext>
          </c:extLst>
        </c:ser>
        <c:ser>
          <c:idx val="3"/>
          <c:order val="3"/>
          <c:tx>
            <c:strRef>
              <c:f>Somalia!$A$68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Somalia!$B$64:$C$64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Somalia!$B$68:$C$68</c:f>
              <c:numCache>
                <c:formatCode>0%</c:formatCode>
                <c:ptCount val="2"/>
                <c:pt idx="0">
                  <c:v>0.21640091116173121</c:v>
                </c:pt>
                <c:pt idx="1">
                  <c:v>0.12120445344129555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3-47BB-A8F7-273D80717C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1119263"/>
        <c:axId val="2041123007"/>
      </c:barChart>
      <c:catAx>
        <c:axId val="204111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23007"/>
        <c:crosses val="autoZero"/>
        <c:auto val="1"/>
        <c:lblAlgn val="ctr"/>
        <c:lblOffset val="100"/>
        <c:noMultiLvlLbl val="0"/>
      </c:catAx>
      <c:valAx>
        <c:axId val="20411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1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rCSI - Who Reduced Number of Meal Adults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Zimbabwe!$A$19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Zimbabwe!$B$19:$C$19</c:f>
              <c:numCache>
                <c:formatCode>0%</c:formatCode>
                <c:ptCount val="2"/>
                <c:pt idx="0">
                  <c:v>0.35964728112534117</c:v>
                </c:pt>
                <c:pt idx="1">
                  <c:v>0.10306465155331654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E-4057-88F3-D086B1006BCA}"/>
            </c:ext>
          </c:extLst>
        </c:ser>
        <c:ser>
          <c:idx val="1"/>
          <c:order val="1"/>
          <c:tx>
            <c:strRef>
              <c:f>Zimbabwe!$A$20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Zimbabwe!$B$20:$C$20</c:f>
              <c:numCache>
                <c:formatCode>0%</c:formatCode>
                <c:ptCount val="2"/>
                <c:pt idx="0">
                  <c:v>6.5504933865211001E-2</c:v>
                </c:pt>
                <c:pt idx="1">
                  <c:v>0.21074727120067172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E-4057-88F3-D086B1006BCA}"/>
            </c:ext>
          </c:extLst>
        </c:ser>
        <c:ser>
          <c:idx val="2"/>
          <c:order val="2"/>
          <c:tx>
            <c:strRef>
              <c:f>Zimbabwe!$A$21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Zimbabwe!$B$21:$C$21</c:f>
              <c:numCache>
                <c:formatCode>0%</c:formatCode>
                <c:ptCount val="2"/>
                <c:pt idx="0">
                  <c:v>0.57484778500944778</c:v>
                </c:pt>
                <c:pt idx="1">
                  <c:v>0.68618807724601172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E-4057-88F3-D086B1006B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6260560"/>
        <c:axId val="2026260976"/>
      </c:barChart>
      <c:catAx>
        <c:axId val="20262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976"/>
        <c:crosses val="autoZero"/>
        <c:auto val="1"/>
        <c:lblAlgn val="ctr"/>
        <c:lblOffset val="100"/>
        <c:noMultiLvlLbl val="0"/>
      </c:catAx>
      <c:valAx>
        <c:axId val="20262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rCSI - Who Reduced Number of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Zimbabwe!$A$41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Zimbabwe!$B$41:$C$41</c:f>
              <c:numCache>
                <c:formatCode>0%</c:formatCode>
                <c:ptCount val="2"/>
                <c:pt idx="0">
                  <c:v>0.23772070626003211</c:v>
                </c:pt>
                <c:pt idx="1">
                  <c:v>6.226937269372694E-2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B-4B45-8EA4-263AEC64CB2C}"/>
            </c:ext>
          </c:extLst>
        </c:ser>
        <c:ser>
          <c:idx val="1"/>
          <c:order val="1"/>
          <c:tx>
            <c:strRef>
              <c:f>Zimbabwe!$A$42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Zimbabwe!$B$42:$C$42</c:f>
              <c:numCache>
                <c:formatCode>0%</c:formatCode>
                <c:ptCount val="2"/>
                <c:pt idx="0">
                  <c:v>5.971107544141252E-2</c:v>
                </c:pt>
                <c:pt idx="1">
                  <c:v>0.1943419434194342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B-4B45-8EA4-263AEC64CB2C}"/>
            </c:ext>
          </c:extLst>
        </c:ser>
        <c:ser>
          <c:idx val="2"/>
          <c:order val="2"/>
          <c:tx>
            <c:strRef>
              <c:f>Zimbabwe!$A$43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Zimbabwe!$B$43:$C$43</c:f>
              <c:numCache>
                <c:formatCode>0%</c:formatCode>
                <c:ptCount val="2"/>
                <c:pt idx="0">
                  <c:v>0.22487961476725521</c:v>
                </c:pt>
                <c:pt idx="1">
                  <c:v>0.29935424354243545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1B-4B45-8EA4-263AEC64CB2C}"/>
            </c:ext>
          </c:extLst>
        </c:ser>
        <c:ser>
          <c:idx val="3"/>
          <c:order val="3"/>
          <c:tx>
            <c:strRef>
              <c:f>Zimbabwe!$A$44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Zimbabwe!$B$44:$C$44</c:f>
              <c:numCache>
                <c:formatCode>0%</c:formatCode>
                <c:ptCount val="2"/>
                <c:pt idx="0">
                  <c:v>0.44670947030497593</c:v>
                </c:pt>
                <c:pt idx="1">
                  <c:v>0.41789667896678967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1B-4B45-8EA4-263AEC64CB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3458400"/>
        <c:axId val="1853460064"/>
      </c:barChart>
      <c:catAx>
        <c:axId val="18534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60064"/>
        <c:crosses val="autoZero"/>
        <c:auto val="1"/>
        <c:lblAlgn val="ctr"/>
        <c:lblOffset val="100"/>
        <c:noMultiLvlLbl val="0"/>
      </c:catAx>
      <c:valAx>
        <c:axId val="18534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rCSI - Who Reduced Meal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Zimbabwe!$A$65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Zimbabwe!$B$65:$C$65</c:f>
              <c:numCache>
                <c:formatCode>0%</c:formatCode>
                <c:ptCount val="2"/>
                <c:pt idx="0">
                  <c:v>0.30858806404657935</c:v>
                </c:pt>
                <c:pt idx="1">
                  <c:v>7.7656249999999996E-2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1-4804-BA81-0126E770535D}"/>
            </c:ext>
          </c:extLst>
        </c:ser>
        <c:ser>
          <c:idx val="1"/>
          <c:order val="1"/>
          <c:tx>
            <c:strRef>
              <c:f>Zimbabwe!$A$66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Zimbabwe!$B$66:$C$66</c:f>
              <c:numCache>
                <c:formatCode>0%</c:formatCode>
                <c:ptCount val="2"/>
                <c:pt idx="0">
                  <c:v>4.4476791201682034E-2</c:v>
                </c:pt>
                <c:pt idx="1">
                  <c:v>0.21406249999999999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1-4804-BA81-0126E770535D}"/>
            </c:ext>
          </c:extLst>
        </c:ser>
        <c:ser>
          <c:idx val="2"/>
          <c:order val="2"/>
          <c:tx>
            <c:strRef>
              <c:f>Zimbabwe!$A$67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Zimbabwe!$B$67:$C$67</c:f>
              <c:numCache>
                <c:formatCode>0%</c:formatCode>
                <c:ptCount val="2"/>
                <c:pt idx="0">
                  <c:v>0.21106259097525473</c:v>
                </c:pt>
                <c:pt idx="1">
                  <c:v>0.31171874999999999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1-4804-BA81-0126E770535D}"/>
            </c:ext>
          </c:extLst>
        </c:ser>
        <c:ser>
          <c:idx val="3"/>
          <c:order val="3"/>
          <c:tx>
            <c:strRef>
              <c:f>Zimbabwe!$A$68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Zimbabwe!$B$64:$C$64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Zimbabwe!$B$68:$C$68</c:f>
              <c:numCache>
                <c:formatCode>0%</c:formatCode>
                <c:ptCount val="2"/>
                <c:pt idx="0">
                  <c:v>0.38347080705159309</c:v>
                </c:pt>
                <c:pt idx="1">
                  <c:v>0.35640624999999998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F1-4804-BA81-0126E77053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8232192"/>
        <c:axId val="1938223040"/>
      </c:barChart>
      <c:catAx>
        <c:axId val="19382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23040"/>
        <c:crosses val="autoZero"/>
        <c:auto val="1"/>
        <c:lblAlgn val="ctr"/>
        <c:lblOffset val="100"/>
        <c:noMultiLvlLbl val="0"/>
      </c:catAx>
      <c:valAx>
        <c:axId val="19382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rCSI - Who Reduced Number of Meal Adults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Malawi!$A$19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Malawi!$B$19:$C$19</c:f>
              <c:numCache>
                <c:formatCode>0%</c:formatCode>
                <c:ptCount val="2"/>
                <c:pt idx="0">
                  <c:v>0.28470310656704678</c:v>
                </c:pt>
                <c:pt idx="1">
                  <c:v>8.8363552903373888E-2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F-4965-AE9B-D33F3E9C519F}"/>
            </c:ext>
          </c:extLst>
        </c:ser>
        <c:ser>
          <c:idx val="1"/>
          <c:order val="1"/>
          <c:tx>
            <c:strRef>
              <c:f>Malawi!$A$20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Malawi!$B$20:$C$20</c:f>
              <c:numCache>
                <c:formatCode>0%</c:formatCode>
                <c:ptCount val="2"/>
                <c:pt idx="0">
                  <c:v>0.12033031852143138</c:v>
                </c:pt>
                <c:pt idx="1">
                  <c:v>0.2507459260959376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F-4965-AE9B-D33F3E9C519F}"/>
            </c:ext>
          </c:extLst>
        </c:ser>
        <c:ser>
          <c:idx val="2"/>
          <c:order val="2"/>
          <c:tx>
            <c:strRef>
              <c:f>Malawi!$A$21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Malawi!$B$21:$C$21</c:f>
              <c:numCache>
                <c:formatCode>0%</c:formatCode>
                <c:ptCount val="2"/>
                <c:pt idx="0">
                  <c:v>0.59496657491152183</c:v>
                </c:pt>
                <c:pt idx="1">
                  <c:v>0.66089052100068857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F-4965-AE9B-D33F3E9C51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6260560"/>
        <c:axId val="2026260976"/>
      </c:barChart>
      <c:catAx>
        <c:axId val="20262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976"/>
        <c:crosses val="autoZero"/>
        <c:auto val="1"/>
        <c:lblAlgn val="ctr"/>
        <c:lblOffset val="100"/>
        <c:noMultiLvlLbl val="0"/>
      </c:catAx>
      <c:valAx>
        <c:axId val="20262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rCSI - Who Reduced Number of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Malawi!$A$41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Malawi!$B$41:$C$41</c:f>
              <c:numCache>
                <c:formatCode>0%</c:formatCode>
                <c:ptCount val="2"/>
                <c:pt idx="0">
                  <c:v>0.18499184339314845</c:v>
                </c:pt>
                <c:pt idx="1">
                  <c:v>7.0726554606411321E-2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C-4009-90A1-C64E58703BF7}"/>
            </c:ext>
          </c:extLst>
        </c:ser>
        <c:ser>
          <c:idx val="1"/>
          <c:order val="1"/>
          <c:tx>
            <c:strRef>
              <c:f>Malawi!$A$42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Malawi!$B$42:$C$42</c:f>
              <c:numCache>
                <c:formatCode>0%</c:formatCode>
                <c:ptCount val="2"/>
                <c:pt idx="0">
                  <c:v>9.1353996737357265E-2</c:v>
                </c:pt>
                <c:pt idx="1">
                  <c:v>0.21686414990355471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C-4009-90A1-C64E58703BF7}"/>
            </c:ext>
          </c:extLst>
        </c:ser>
        <c:ser>
          <c:idx val="2"/>
          <c:order val="2"/>
          <c:tx>
            <c:strRef>
              <c:f>Malawi!$A$43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Malawi!$B$43:$C$43</c:f>
              <c:numCache>
                <c:formatCode>0%</c:formatCode>
                <c:ptCount val="2"/>
                <c:pt idx="0">
                  <c:v>0.24355628058727569</c:v>
                </c:pt>
                <c:pt idx="1">
                  <c:v>0.2711490768806834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C-4009-90A1-C64E58703BF7}"/>
            </c:ext>
          </c:extLst>
        </c:ser>
        <c:ser>
          <c:idx val="3"/>
          <c:order val="3"/>
          <c:tx>
            <c:strRef>
              <c:f>Malawi!$A$44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Malawi!$B$44:$C$44</c:f>
              <c:numCache>
                <c:formatCode>0%</c:formatCode>
                <c:ptCount val="2"/>
                <c:pt idx="0">
                  <c:v>0.38482871125611745</c:v>
                </c:pt>
                <c:pt idx="1">
                  <c:v>0.35574538440341691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C-4009-90A1-C64E58703B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3458400"/>
        <c:axId val="1853460064"/>
      </c:barChart>
      <c:catAx>
        <c:axId val="18534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60064"/>
        <c:crosses val="autoZero"/>
        <c:auto val="1"/>
        <c:lblAlgn val="ctr"/>
        <c:lblOffset val="100"/>
        <c:noMultiLvlLbl val="0"/>
      </c:catAx>
      <c:valAx>
        <c:axId val="18534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rCSI - Who Reduced Meal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Malawi!$A$65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Malawi!$B$65:$C$65</c:f>
              <c:numCache>
                <c:formatCode>0%</c:formatCode>
                <c:ptCount val="2"/>
                <c:pt idx="0">
                  <c:v>0.13036852313660294</c:v>
                </c:pt>
                <c:pt idx="1">
                  <c:v>5.1740211311373525E-2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E-4A89-9FDB-D4231B3D2967}"/>
            </c:ext>
          </c:extLst>
        </c:ser>
        <c:ser>
          <c:idx val="1"/>
          <c:order val="1"/>
          <c:tx>
            <c:strRef>
              <c:f>Malawi!$A$66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Malawi!$B$66:$C$66</c:f>
              <c:numCache>
                <c:formatCode>0%</c:formatCode>
                <c:ptCount val="2"/>
                <c:pt idx="0">
                  <c:v>6.0127459129952897E-2</c:v>
                </c:pt>
                <c:pt idx="1">
                  <c:v>0.14115910503418272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E-4A89-9FDB-D4231B3D2967}"/>
            </c:ext>
          </c:extLst>
        </c:ser>
        <c:ser>
          <c:idx val="2"/>
          <c:order val="2"/>
          <c:tx>
            <c:strRef>
              <c:f>Malawi!$A$67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Malawi!$B$67:$C$67</c:f>
              <c:numCache>
                <c:formatCode>0%</c:formatCode>
                <c:ptCount val="2"/>
                <c:pt idx="0">
                  <c:v>0.20060958714325297</c:v>
                </c:pt>
                <c:pt idx="1">
                  <c:v>0.22754816656308266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E-4A89-9FDB-D4231B3D2967}"/>
            </c:ext>
          </c:extLst>
        </c:ser>
        <c:ser>
          <c:idx val="3"/>
          <c:order val="3"/>
          <c:tx>
            <c:strRef>
              <c:f>Malawi!$A$68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Malawi!$B$64:$C$64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Malawi!$B$68:$C$68</c:f>
              <c:numCache>
                <c:formatCode>0%</c:formatCode>
                <c:ptCount val="2"/>
                <c:pt idx="0">
                  <c:v>0.46190080354668883</c:v>
                </c:pt>
                <c:pt idx="1">
                  <c:v>0.45797078931013052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E-4A89-9FDB-D4231B3D29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8232192"/>
        <c:axId val="1938223040"/>
      </c:barChart>
      <c:catAx>
        <c:axId val="19382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23040"/>
        <c:crosses val="autoZero"/>
        <c:auto val="1"/>
        <c:lblAlgn val="ctr"/>
        <c:lblOffset val="100"/>
        <c:noMultiLvlLbl val="0"/>
      </c:catAx>
      <c:valAx>
        <c:axId val="19382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rCSI - Who Reduced Number of Meal Adults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499539596911471E-2"/>
          <c:y val="0.16708333333333336"/>
          <c:w val="0.89511882891421235"/>
          <c:h val="0.6149843248760571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Angola!$A$19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Angola!$B$19:$C$19</c:f>
              <c:numCache>
                <c:formatCode>0%</c:formatCode>
                <c:ptCount val="2"/>
                <c:pt idx="0">
                  <c:v>0.3724062613760466</c:v>
                </c:pt>
                <c:pt idx="1">
                  <c:v>6.8234209313047481E-2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E-4AFE-A173-44F716376A8E}"/>
            </c:ext>
          </c:extLst>
        </c:ser>
        <c:ser>
          <c:idx val="1"/>
          <c:order val="1"/>
          <c:tx>
            <c:strRef>
              <c:f>Angola!$A$20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Angola!$B$20:$C$20</c:f>
              <c:numCache>
                <c:formatCode>0%</c:formatCode>
                <c:ptCount val="2"/>
                <c:pt idx="0">
                  <c:v>8.3727702948671281E-2</c:v>
                </c:pt>
                <c:pt idx="1">
                  <c:v>0.26994006454587366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E-4AFE-A173-44F716376A8E}"/>
            </c:ext>
          </c:extLst>
        </c:ser>
        <c:ser>
          <c:idx val="2"/>
          <c:order val="2"/>
          <c:tx>
            <c:strRef>
              <c:f>Angola!$A$21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Angola!$B$18:$C$18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Angola!$B$21:$C$21</c:f>
              <c:numCache>
                <c:formatCode>0%</c:formatCode>
                <c:ptCount val="2"/>
                <c:pt idx="0">
                  <c:v>0.54386603567528213</c:v>
                </c:pt>
                <c:pt idx="1">
                  <c:v>0.66182572614107882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E-4AFE-A173-44F716376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6260560"/>
        <c:axId val="2026260976"/>
      </c:barChart>
      <c:catAx>
        <c:axId val="20262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976"/>
        <c:crosses val="autoZero"/>
        <c:auto val="1"/>
        <c:lblAlgn val="ctr"/>
        <c:lblOffset val="100"/>
        <c:noMultiLvlLbl val="0"/>
      </c:catAx>
      <c:valAx>
        <c:axId val="20262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rCSI - Who Reduced Number of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Angola!$A$41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Angola!$B$41:$C$41</c:f>
              <c:numCache>
                <c:formatCode>0%</c:formatCode>
                <c:ptCount val="2"/>
                <c:pt idx="0">
                  <c:v>7.5219982969060462E-2</c:v>
                </c:pt>
                <c:pt idx="1">
                  <c:v>1.594014313597918E-2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D-4490-BC40-2C68AFA34085}"/>
            </c:ext>
          </c:extLst>
        </c:ser>
        <c:ser>
          <c:idx val="1"/>
          <c:order val="1"/>
          <c:tx>
            <c:strRef>
              <c:f>Angola!$A$42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Angola!$B$42:$C$42</c:f>
              <c:numCache>
                <c:formatCode>0%</c:formatCode>
                <c:ptCount val="2"/>
                <c:pt idx="0">
                  <c:v>2.4127164348566564E-2</c:v>
                </c:pt>
                <c:pt idx="1">
                  <c:v>9.4014313597918023E-2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D-4490-BC40-2C68AFA34085}"/>
            </c:ext>
          </c:extLst>
        </c:ser>
        <c:ser>
          <c:idx val="2"/>
          <c:order val="2"/>
          <c:tx>
            <c:strRef>
              <c:f>Angola!$A$43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Angola!$B$43:$C$43</c:f>
              <c:numCache>
                <c:formatCode>0%</c:formatCode>
                <c:ptCount val="2"/>
                <c:pt idx="0">
                  <c:v>0.15640079477717855</c:v>
                </c:pt>
                <c:pt idx="1">
                  <c:v>0.20901106050748211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3D-4490-BC40-2C68AFA34085}"/>
            </c:ext>
          </c:extLst>
        </c:ser>
        <c:ser>
          <c:idx val="3"/>
          <c:order val="3"/>
          <c:tx>
            <c:strRef>
              <c:f>Angola!$A$44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Angola!$B$40:$C$40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Angola!$B$44:$C$44</c:f>
              <c:numCache>
                <c:formatCode>0%</c:formatCode>
                <c:ptCount val="2"/>
                <c:pt idx="0">
                  <c:v>0.73318194720408747</c:v>
                </c:pt>
                <c:pt idx="1">
                  <c:v>0.6696486662329213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3D-4490-BC40-2C68AFA340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3458400"/>
        <c:axId val="1853460064"/>
      </c:barChart>
      <c:catAx>
        <c:axId val="18534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60064"/>
        <c:crosses val="autoZero"/>
        <c:auto val="1"/>
        <c:lblAlgn val="ctr"/>
        <c:lblOffset val="100"/>
        <c:noMultiLvlLbl val="0"/>
      </c:catAx>
      <c:valAx>
        <c:axId val="18534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rCSI - Who Reduced Meal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Angola!$A$65</c:f>
              <c:strCache>
                <c:ptCount val="1"/>
                <c:pt idx="0">
                  <c:v>Adult Female</c:v>
                </c:pt>
              </c:strCache>
            </c:strRef>
          </c:tx>
          <c:spPr>
            <a:solidFill>
              <a:srgbClr val="26B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Angola!$B$65:$C$65</c:f>
              <c:numCache>
                <c:formatCode>0%</c:formatCode>
                <c:ptCount val="2"/>
                <c:pt idx="0">
                  <c:v>0.14760686883449031</c:v>
                </c:pt>
                <c:pt idx="1">
                  <c:v>3.1609195402298854E-2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0-451D-8E64-596F854983BD}"/>
            </c:ext>
          </c:extLst>
        </c:ser>
        <c:ser>
          <c:idx val="1"/>
          <c:order val="1"/>
          <c:tx>
            <c:strRef>
              <c:f>Angola!$A$66</c:f>
              <c:strCache>
                <c:ptCount val="1"/>
                <c:pt idx="0">
                  <c:v>Adult Male</c:v>
                </c:pt>
              </c:strCache>
            </c:strRef>
          </c:tx>
          <c:spPr>
            <a:solidFill>
              <a:srgbClr val="0A6E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Angola!$B$66:$C$66</c:f>
              <c:numCache>
                <c:formatCode>0%</c:formatCode>
                <c:ptCount val="2"/>
                <c:pt idx="0">
                  <c:v>3.9824625502374866E-2</c:v>
                </c:pt>
                <c:pt idx="1">
                  <c:v>0.15804597701149425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0-451D-8E64-596F854983BD}"/>
            </c:ext>
          </c:extLst>
        </c:ser>
        <c:ser>
          <c:idx val="2"/>
          <c:order val="2"/>
          <c:tx>
            <c:strRef>
              <c:f>Angola!$A$67</c:f>
              <c:strCache>
                <c:ptCount val="1"/>
                <c:pt idx="0">
                  <c:v>All Adults Equally</c:v>
                </c:pt>
              </c:strCache>
            </c:strRef>
          </c:tx>
          <c:spPr>
            <a:solidFill>
              <a:srgbClr val="194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Angola!$B$67:$C$67</c:f>
              <c:numCache>
                <c:formatCode>0%</c:formatCode>
                <c:ptCount val="2"/>
                <c:pt idx="0">
                  <c:v>0.13518450858604311</c:v>
                </c:pt>
                <c:pt idx="1">
                  <c:v>0.18943412908930149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0-451D-8E64-596F854983BD}"/>
            </c:ext>
          </c:extLst>
        </c:ser>
        <c:ser>
          <c:idx val="3"/>
          <c:order val="3"/>
          <c:tx>
            <c:strRef>
              <c:f>Angola!$A$68</c:f>
              <c:strCache>
                <c:ptCount val="1"/>
                <c:pt idx="0">
                  <c:v>All Members Equally</c:v>
                </c:pt>
              </c:strCache>
            </c:strRef>
          </c:tx>
          <c:spPr>
            <a:solidFill>
              <a:srgbClr val="C519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Angola!$B$64:$C$64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Angola!$B$68:$C$68</c:f>
              <c:numCache>
                <c:formatCode>0%</c:formatCode>
                <c:ptCount val="2"/>
                <c:pt idx="0">
                  <c:v>0.66094263792473507</c:v>
                </c:pt>
                <c:pt idx="1">
                  <c:v>0.60499557913351021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0-451D-8E64-596F854983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8232192"/>
        <c:axId val="1938223040"/>
      </c:barChart>
      <c:catAx>
        <c:axId val="19382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23040"/>
        <c:crosses val="autoZero"/>
        <c:auto val="1"/>
        <c:lblAlgn val="ctr"/>
        <c:lblOffset val="100"/>
        <c:noMultiLvlLbl val="0"/>
      </c:catAx>
      <c:valAx>
        <c:axId val="19382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5</xdr:row>
      <xdr:rowOff>173037</xdr:rowOff>
    </xdr:from>
    <xdr:to>
      <xdr:col>15</xdr:col>
      <xdr:colOff>66675</xdr:colOff>
      <xdr:row>20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D656E-9926-85A7-9C2C-09B23F7E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360362</xdr:colOff>
      <xdr:row>20</xdr:row>
      <xdr:rowOff>134937</xdr:rowOff>
    </xdr:from>
    <xdr:to>
      <xdr:col>15</xdr:col>
      <xdr:colOff>76200</xdr:colOff>
      <xdr:row>35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51C1E-168B-E9C0-7C3C-6984705EE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361950</xdr:colOff>
      <xdr:row>36</xdr:row>
      <xdr:rowOff>96837</xdr:rowOff>
    </xdr:from>
    <xdr:to>
      <xdr:col>15</xdr:col>
      <xdr:colOff>95250</xdr:colOff>
      <xdr:row>51</xdr:row>
      <xdr:rowOff>131762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BB4F1-F4A5-38D0-ED0C-1B3CD90D8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6</xdr:row>
      <xdr:rowOff>174625</xdr:rowOff>
    </xdr:from>
    <xdr:to>
      <xdr:col>12</xdr:col>
      <xdr:colOff>457199</xdr:colOff>
      <xdr:row>21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1939D-CE81-387F-EE51-275AFAA2F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22</xdr:row>
      <xdr:rowOff>130175</xdr:rowOff>
    </xdr:from>
    <xdr:to>
      <xdr:col>12</xdr:col>
      <xdr:colOff>454025</xdr:colOff>
      <xdr:row>37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8B5633-27E0-EE06-27A7-A3203C276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46</xdr:row>
      <xdr:rowOff>92075</xdr:rowOff>
    </xdr:from>
    <xdr:to>
      <xdr:col>12</xdr:col>
      <xdr:colOff>447675</xdr:colOff>
      <xdr:row>61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738EE9-99FE-6D16-7668-5B891C660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</xdr:colOff>
      <xdr:row>6</xdr:row>
      <xdr:rowOff>174625</xdr:rowOff>
    </xdr:from>
    <xdr:to>
      <xdr:col>12</xdr:col>
      <xdr:colOff>501649</xdr:colOff>
      <xdr:row>21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D286F-E662-4638-857E-984151C95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</xdr:colOff>
      <xdr:row>22</xdr:row>
      <xdr:rowOff>155575</xdr:rowOff>
    </xdr:from>
    <xdr:to>
      <xdr:col>12</xdr:col>
      <xdr:colOff>485775</xdr:colOff>
      <xdr:row>37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A5A40-9DF8-43DD-AD64-F1F69E2B6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46</xdr:row>
      <xdr:rowOff>92075</xdr:rowOff>
    </xdr:from>
    <xdr:to>
      <xdr:col>12</xdr:col>
      <xdr:colOff>447675</xdr:colOff>
      <xdr:row>61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A2E296-EED1-4FD3-9D3D-DEE2FB41D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</xdr:colOff>
      <xdr:row>6</xdr:row>
      <xdr:rowOff>174625</xdr:rowOff>
    </xdr:from>
    <xdr:to>
      <xdr:col>12</xdr:col>
      <xdr:colOff>501649</xdr:colOff>
      <xdr:row>21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CDDB1-8915-4C34-85EB-3E1CC2FFC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</xdr:colOff>
      <xdr:row>22</xdr:row>
      <xdr:rowOff>155575</xdr:rowOff>
    </xdr:from>
    <xdr:to>
      <xdr:col>12</xdr:col>
      <xdr:colOff>485775</xdr:colOff>
      <xdr:row>37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39966-2DD7-4FE9-8122-9438ED4F1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46</xdr:row>
      <xdr:rowOff>92075</xdr:rowOff>
    </xdr:from>
    <xdr:to>
      <xdr:col>12</xdr:col>
      <xdr:colOff>447675</xdr:colOff>
      <xdr:row>61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B30A30-8346-4621-BB7D-7024301AD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DB6C-2DB8-4F65-9731-5658EA552F05}">
  <dimension ref="A1:L70"/>
  <sheetViews>
    <sheetView workbookViewId="0">
      <selection activeCell="A17" sqref="A17:C20"/>
    </sheetView>
  </sheetViews>
  <sheetFormatPr baseColWidth="10" defaultColWidth="8.83203125" defaultRowHeight="15" x14ac:dyDescent="0.2"/>
  <cols>
    <col min="1" max="1" width="19.5" bestFit="1" customWidth="1"/>
    <col min="3" max="3" width="10.5" bestFit="1" customWidth="1"/>
    <col min="4" max="4" width="18.1640625" bestFit="1" customWidth="1"/>
    <col min="5" max="5" width="23.6640625" bestFit="1" customWidth="1"/>
    <col min="8" max="8" width="9.6640625" bestFit="1" customWidth="1"/>
    <col min="12" max="12" width="27.5" bestFit="1" customWidth="1"/>
  </cols>
  <sheetData>
    <row r="1" spans="1:12" x14ac:dyDescent="0.2">
      <c r="A1" s="13" t="s">
        <v>0</v>
      </c>
      <c r="B1" s="13"/>
      <c r="C1" s="13"/>
      <c r="D1" s="13"/>
      <c r="E1" s="13"/>
      <c r="G1" s="13" t="s">
        <v>1</v>
      </c>
      <c r="H1" s="13"/>
      <c r="I1" s="13"/>
      <c r="J1" s="13"/>
      <c r="K1" s="13"/>
      <c r="L1" t="s">
        <v>2</v>
      </c>
    </row>
    <row r="2" spans="1:12" x14ac:dyDescent="0.2">
      <c r="A2" t="s">
        <v>3</v>
      </c>
      <c r="B2" t="s">
        <v>4</v>
      </c>
      <c r="C2" t="s">
        <v>5</v>
      </c>
      <c r="D2" t="s">
        <v>6</v>
      </c>
      <c r="G2" t="s">
        <v>7</v>
      </c>
      <c r="H2" t="s">
        <v>4</v>
      </c>
      <c r="I2" t="s">
        <v>8</v>
      </c>
      <c r="J2" t="s">
        <v>6</v>
      </c>
      <c r="L2" t="s">
        <v>9</v>
      </c>
    </row>
    <row r="3" spans="1:12" x14ac:dyDescent="0.2">
      <c r="A3" t="s">
        <v>10</v>
      </c>
      <c r="B3" s="1">
        <v>6344</v>
      </c>
      <c r="C3" s="2">
        <f>B3/B5</f>
        <v>0.26973935966665247</v>
      </c>
      <c r="D3">
        <f>B5/B3</f>
        <v>3.7072824716267339</v>
      </c>
      <c r="G3" t="s">
        <v>10</v>
      </c>
      <c r="H3" s="1"/>
      <c r="I3" s="2"/>
      <c r="J3">
        <v>0.5</v>
      </c>
      <c r="K3" t="s">
        <v>10</v>
      </c>
      <c r="L3">
        <f>D3*J3</f>
        <v>1.8536412358133669</v>
      </c>
    </row>
    <row r="4" spans="1:12" x14ac:dyDescent="0.2">
      <c r="A4" t="s">
        <v>11</v>
      </c>
      <c r="B4" s="1">
        <v>17175</v>
      </c>
      <c r="C4" s="2">
        <f>B4/B5</f>
        <v>0.73026064033334748</v>
      </c>
      <c r="D4">
        <f>B5/B4</f>
        <v>1.3693740902474527</v>
      </c>
      <c r="G4" t="s">
        <v>11</v>
      </c>
      <c r="H4" s="1"/>
      <c r="I4" s="2"/>
      <c r="J4">
        <v>0.5</v>
      </c>
      <c r="K4" t="s">
        <v>11</v>
      </c>
      <c r="L4">
        <f>D4*J4</f>
        <v>0.68468704512372636</v>
      </c>
    </row>
    <row r="5" spans="1:12" x14ac:dyDescent="0.2">
      <c r="A5" t="s">
        <v>12</v>
      </c>
      <c r="B5" s="1">
        <v>23519</v>
      </c>
      <c r="G5" t="s">
        <v>12</v>
      </c>
      <c r="H5" s="1"/>
    </row>
    <row r="6" spans="1:12" x14ac:dyDescent="0.2">
      <c r="B6" s="1"/>
    </row>
    <row r="7" spans="1:12" x14ac:dyDescent="0.2">
      <c r="A7" s="12" t="s">
        <v>13</v>
      </c>
      <c r="B7" s="11" t="s">
        <v>3</v>
      </c>
      <c r="C7" s="11"/>
      <c r="D7" s="11" t="s">
        <v>14</v>
      </c>
      <c r="E7" s="11"/>
    </row>
    <row r="8" spans="1:12" x14ac:dyDescent="0.2">
      <c r="A8" s="12"/>
      <c r="B8" s="3" t="s">
        <v>10</v>
      </c>
      <c r="C8" s="3" t="s">
        <v>11</v>
      </c>
      <c r="D8" s="3" t="s">
        <v>15</v>
      </c>
      <c r="E8" s="3" t="s">
        <v>16</v>
      </c>
    </row>
    <row r="9" spans="1:12" x14ac:dyDescent="0.2">
      <c r="A9" s="3" t="s">
        <v>17</v>
      </c>
      <c r="B9" s="3">
        <v>817</v>
      </c>
      <c r="C9" s="4">
        <v>1840</v>
      </c>
      <c r="D9" s="4">
        <v>2657</v>
      </c>
      <c r="E9" s="9">
        <v>2695.357</v>
      </c>
    </row>
    <row r="10" spans="1:12" x14ac:dyDescent="0.2">
      <c r="A10" s="3"/>
      <c r="B10" s="5">
        <f>B9/B15</f>
        <v>0.24908536585365854</v>
      </c>
      <c r="C10" s="5">
        <f t="shared" ref="C10:D10" si="0">C9/C15</f>
        <v>0.23448451637568499</v>
      </c>
      <c r="D10" s="5">
        <f t="shared" si="0"/>
        <v>0.2387885323986699</v>
      </c>
      <c r="E10" s="5">
        <f>E9/E15</f>
        <v>0.24223573290195022</v>
      </c>
    </row>
    <row r="11" spans="1:12" x14ac:dyDescent="0.2">
      <c r="A11" s="3" t="s">
        <v>18</v>
      </c>
      <c r="B11" s="3">
        <v>293</v>
      </c>
      <c r="C11" s="4">
        <v>2842</v>
      </c>
      <c r="D11" s="4">
        <v>3135</v>
      </c>
      <c r="E11" s="9">
        <v>2418.2170000000001</v>
      </c>
    </row>
    <row r="12" spans="1:12" x14ac:dyDescent="0.2">
      <c r="A12" s="3"/>
      <c r="B12" s="5">
        <f>B11/B15</f>
        <v>8.9329268292682923E-2</v>
      </c>
      <c r="C12" s="5">
        <f t="shared" ref="C12:E12" si="1">C11/C15</f>
        <v>0.36217662801070472</v>
      </c>
      <c r="D12" s="5">
        <f t="shared" si="1"/>
        <v>0.28174710164464817</v>
      </c>
      <c r="E12" s="5">
        <f t="shared" si="1"/>
        <v>0.21732874988766065</v>
      </c>
    </row>
    <row r="13" spans="1:12" x14ac:dyDescent="0.2">
      <c r="A13" s="3" t="s">
        <v>19</v>
      </c>
      <c r="B13" s="4">
        <v>2170</v>
      </c>
      <c r="C13" s="4">
        <v>3165</v>
      </c>
      <c r="D13" s="4">
        <v>5335</v>
      </c>
      <c r="E13" s="9">
        <v>6013.4255999999996</v>
      </c>
    </row>
    <row r="14" spans="1:12" x14ac:dyDescent="0.2">
      <c r="A14" s="3"/>
      <c r="B14" s="5">
        <f>B13/B15</f>
        <v>0.66158536585365857</v>
      </c>
      <c r="C14" s="5">
        <f t="shared" ref="C14:E14" si="2">C13/C15</f>
        <v>0.40333885561361027</v>
      </c>
      <c r="D14" s="5">
        <f t="shared" si="2"/>
        <v>0.47946436595668196</v>
      </c>
      <c r="E14" s="5">
        <f t="shared" si="2"/>
        <v>0.54043548126179564</v>
      </c>
    </row>
    <row r="15" spans="1:12" x14ac:dyDescent="0.2">
      <c r="A15" s="3" t="s">
        <v>12</v>
      </c>
      <c r="B15" s="4">
        <v>3280</v>
      </c>
      <c r="C15" s="4">
        <v>7847</v>
      </c>
      <c r="D15" s="4">
        <v>11127</v>
      </c>
      <c r="E15" s="1">
        <v>11127</v>
      </c>
    </row>
    <row r="17" spans="1:5" x14ac:dyDescent="0.2">
      <c r="A17" s="3" t="s">
        <v>13</v>
      </c>
      <c r="B17" s="3" t="s">
        <v>10</v>
      </c>
      <c r="C17" s="3" t="s">
        <v>11</v>
      </c>
      <c r="D17" s="3" t="s">
        <v>15</v>
      </c>
      <c r="E17" s="3" t="s">
        <v>16</v>
      </c>
    </row>
    <row r="18" spans="1:5" x14ac:dyDescent="0.2">
      <c r="A18" s="3" t="s">
        <v>20</v>
      </c>
      <c r="B18" s="7">
        <v>0.24908536585365854</v>
      </c>
      <c r="C18" s="7">
        <v>0.23448451637568499</v>
      </c>
      <c r="D18" s="7">
        <v>0.2387885323986699</v>
      </c>
      <c r="E18" s="7">
        <v>0.24223573290195022</v>
      </c>
    </row>
    <row r="19" spans="1:5" x14ac:dyDescent="0.2">
      <c r="A19" s="3" t="s">
        <v>21</v>
      </c>
      <c r="B19" s="7">
        <v>8.9329268292682923E-2</v>
      </c>
      <c r="C19" s="7">
        <v>0.36217662801070472</v>
      </c>
      <c r="D19" s="7">
        <v>0.28174710164464817</v>
      </c>
      <c r="E19" s="7">
        <v>0.21732874988766065</v>
      </c>
    </row>
    <row r="20" spans="1:5" x14ac:dyDescent="0.2">
      <c r="A20" s="3" t="s">
        <v>22</v>
      </c>
      <c r="B20" s="7">
        <v>0.66158536585365857</v>
      </c>
      <c r="C20" s="7">
        <v>0.40333885561361027</v>
      </c>
      <c r="D20" s="7">
        <v>0.47946436595668196</v>
      </c>
      <c r="E20" s="7">
        <v>0.54043548126179564</v>
      </c>
    </row>
    <row r="23" spans="1:5" x14ac:dyDescent="0.2">
      <c r="A23" s="12" t="s">
        <v>23</v>
      </c>
      <c r="B23" s="11" t="s">
        <v>3</v>
      </c>
      <c r="C23" s="11"/>
      <c r="D23" s="11" t="s">
        <v>14</v>
      </c>
      <c r="E23" s="11"/>
    </row>
    <row r="24" spans="1:5" x14ac:dyDescent="0.2">
      <c r="A24" s="12"/>
      <c r="B24" s="3" t="s">
        <v>10</v>
      </c>
      <c r="C24" s="3" t="s">
        <v>11</v>
      </c>
      <c r="D24" s="3" t="s">
        <v>15</v>
      </c>
      <c r="E24" s="3" t="s">
        <v>16</v>
      </c>
    </row>
    <row r="25" spans="1:5" x14ac:dyDescent="0.2">
      <c r="A25" s="3" t="s">
        <v>17</v>
      </c>
      <c r="B25" s="4">
        <v>1030</v>
      </c>
      <c r="C25" s="4">
        <v>3497</v>
      </c>
      <c r="D25" s="4">
        <v>4527</v>
      </c>
      <c r="E25" s="3">
        <v>4274.5169999999998</v>
      </c>
    </row>
    <row r="26" spans="1:5" x14ac:dyDescent="0.2">
      <c r="A26" s="3"/>
      <c r="B26" s="5">
        <f>B25/B37</f>
        <v>0.24623475974181211</v>
      </c>
      <c r="C26" s="5">
        <f t="shared" ref="C26:D26" si="3">C25/C37</f>
        <v>0.31799581704101121</v>
      </c>
      <c r="D26" s="5">
        <f t="shared" si="3"/>
        <v>0.29822134387351779</v>
      </c>
      <c r="E26" s="7">
        <f>E25/E37</f>
        <v>0.28158873517786559</v>
      </c>
    </row>
    <row r="27" spans="1:5" x14ac:dyDescent="0.2">
      <c r="A27" s="3" t="s">
        <v>18</v>
      </c>
      <c r="B27" s="3">
        <v>300</v>
      </c>
      <c r="C27" s="4">
        <v>3159</v>
      </c>
      <c r="D27" s="4">
        <v>3459</v>
      </c>
      <c r="E27" s="3">
        <v>2700.6439999999998</v>
      </c>
    </row>
    <row r="28" spans="1:5" x14ac:dyDescent="0.2">
      <c r="A28" s="3"/>
      <c r="B28" s="5">
        <f>B27/B37</f>
        <v>7.1718862060721963E-2</v>
      </c>
      <c r="C28" s="5">
        <f t="shared" ref="C28:E28" si="4">C27/C37</f>
        <v>0.28726016186232611</v>
      </c>
      <c r="D28" s="5">
        <f t="shared" si="4"/>
        <v>0.22786561264822133</v>
      </c>
      <c r="E28" s="7">
        <f t="shared" si="4"/>
        <v>0.17790803689064558</v>
      </c>
    </row>
    <row r="29" spans="1:5" x14ac:dyDescent="0.2">
      <c r="A29" s="3" t="s">
        <v>19</v>
      </c>
      <c r="B29" s="4">
        <v>1972</v>
      </c>
      <c r="C29" s="4">
        <v>3292</v>
      </c>
      <c r="D29" s="4">
        <v>5264</v>
      </c>
      <c r="E29" s="3">
        <v>5869.4350000000004</v>
      </c>
    </row>
    <row r="30" spans="1:5" x14ac:dyDescent="0.2">
      <c r="A30" s="3"/>
      <c r="B30" s="5">
        <f>B29/B37</f>
        <v>0.47143198661247909</v>
      </c>
      <c r="C30" s="5">
        <f t="shared" ref="C30:E30" si="5">C29/C37</f>
        <v>0.29935436937346549</v>
      </c>
      <c r="D30" s="5">
        <f t="shared" si="5"/>
        <v>0.34677206851119896</v>
      </c>
      <c r="E30" s="7">
        <f t="shared" si="5"/>
        <v>0.38665579710144932</v>
      </c>
    </row>
    <row r="31" spans="1:5" x14ac:dyDescent="0.2">
      <c r="A31" s="3" t="s">
        <v>24</v>
      </c>
      <c r="B31" s="3">
        <v>876</v>
      </c>
      <c r="C31" s="4">
        <v>1040</v>
      </c>
      <c r="D31" s="4">
        <v>1916</v>
      </c>
      <c r="E31" s="3">
        <v>2320.078</v>
      </c>
    </row>
    <row r="32" spans="1:5" x14ac:dyDescent="0.2">
      <c r="A32" s="3"/>
      <c r="B32" s="5">
        <f>B31/B37</f>
        <v>0.20941907721730815</v>
      </c>
      <c r="C32" s="5">
        <f t="shared" ref="C32:E32" si="6">C31/C37</f>
        <v>9.4571246703646444E-2</v>
      </c>
      <c r="D32" s="5">
        <f t="shared" si="6"/>
        <v>0.12621870882740449</v>
      </c>
      <c r="E32" s="7">
        <f t="shared" si="6"/>
        <v>0.15283781291172596</v>
      </c>
    </row>
    <row r="33" spans="1:5" x14ac:dyDescent="0.2">
      <c r="A33" s="3" t="s">
        <v>25</v>
      </c>
      <c r="B33" s="3">
        <v>5</v>
      </c>
      <c r="C33" s="3">
        <v>2</v>
      </c>
      <c r="D33" s="3">
        <v>7</v>
      </c>
      <c r="E33" s="3">
        <v>10.565691299999999</v>
      </c>
    </row>
    <row r="34" spans="1:5" x14ac:dyDescent="0.2">
      <c r="A34" s="3"/>
      <c r="B34" s="5">
        <f>B33/B37</f>
        <v>1.1953143676786994E-3</v>
      </c>
      <c r="C34" s="5">
        <f t="shared" ref="C34:E34" si="7">C33/C37</f>
        <v>1.8186778212239701E-4</v>
      </c>
      <c r="D34" s="5">
        <f t="shared" si="7"/>
        <v>4.6113306982872198E-4</v>
      </c>
      <c r="E34" s="7">
        <f t="shared" si="7"/>
        <v>6.9602709486166008E-4</v>
      </c>
    </row>
    <row r="35" spans="1:5" x14ac:dyDescent="0.2">
      <c r="A35" s="3" t="s">
        <v>26</v>
      </c>
      <c r="B35" s="3">
        <v>0</v>
      </c>
      <c r="C35" s="3">
        <v>7</v>
      </c>
      <c r="D35" s="3">
        <v>7</v>
      </c>
      <c r="E35" s="3">
        <v>4.7604194199999998</v>
      </c>
    </row>
    <row r="36" spans="1:5" x14ac:dyDescent="0.2">
      <c r="A36" s="3"/>
      <c r="B36" s="5">
        <f>B35/B37</f>
        <v>0</v>
      </c>
      <c r="C36" s="5">
        <f t="shared" ref="C36:E36" si="8">C35/C37</f>
        <v>6.3653723742838951E-4</v>
      </c>
      <c r="D36" s="5">
        <f t="shared" si="8"/>
        <v>4.6113306982872198E-4</v>
      </c>
      <c r="E36" s="7">
        <f t="shared" si="8"/>
        <v>3.13598117259552E-4</v>
      </c>
    </row>
    <row r="37" spans="1:5" x14ac:dyDescent="0.2">
      <c r="A37" s="3" t="s">
        <v>12</v>
      </c>
      <c r="B37" s="4">
        <v>4183</v>
      </c>
      <c r="C37" s="4">
        <v>10997</v>
      </c>
      <c r="D37" s="4">
        <v>15180</v>
      </c>
      <c r="E37" s="4">
        <v>15180</v>
      </c>
    </row>
    <row r="39" spans="1:5" x14ac:dyDescent="0.2">
      <c r="A39" s="6" t="s">
        <v>23</v>
      </c>
      <c r="B39" s="3" t="s">
        <v>10</v>
      </c>
      <c r="C39" s="3" t="s">
        <v>11</v>
      </c>
      <c r="D39" s="3" t="s">
        <v>15</v>
      </c>
      <c r="E39" s="3" t="s">
        <v>16</v>
      </c>
    </row>
    <row r="40" spans="1:5" x14ac:dyDescent="0.2">
      <c r="A40" s="3" t="s">
        <v>20</v>
      </c>
      <c r="B40" s="7">
        <v>0.24623475974181211</v>
      </c>
      <c r="C40" s="7">
        <v>0.31799581704101121</v>
      </c>
      <c r="D40" s="7">
        <v>0.29822134387351779</v>
      </c>
      <c r="E40" s="7">
        <v>0.28158873517786559</v>
      </c>
    </row>
    <row r="41" spans="1:5" x14ac:dyDescent="0.2">
      <c r="A41" s="3" t="s">
        <v>21</v>
      </c>
      <c r="B41" s="7">
        <v>7.1718862060721963E-2</v>
      </c>
      <c r="C41" s="7">
        <v>0.28726016186232611</v>
      </c>
      <c r="D41" s="7">
        <v>0.22786561264822133</v>
      </c>
      <c r="E41" s="7">
        <v>0.17790803689064558</v>
      </c>
    </row>
    <row r="42" spans="1:5" x14ac:dyDescent="0.2">
      <c r="A42" s="3" t="s">
        <v>22</v>
      </c>
      <c r="B42" s="7">
        <v>0.47143198661247909</v>
      </c>
      <c r="C42" s="7">
        <v>0.29935436937346549</v>
      </c>
      <c r="D42" s="7">
        <v>0.34677206851119896</v>
      </c>
      <c r="E42" s="7">
        <v>0.38665579710144932</v>
      </c>
    </row>
    <row r="43" spans="1:5" x14ac:dyDescent="0.2">
      <c r="A43" s="3" t="s">
        <v>27</v>
      </c>
      <c r="B43" s="7">
        <v>0.20941907721730815</v>
      </c>
      <c r="C43" s="7">
        <v>9.4571246703646444E-2</v>
      </c>
      <c r="D43" s="7">
        <v>0.12621870882740449</v>
      </c>
      <c r="E43" s="7">
        <v>0.15283781291172596</v>
      </c>
    </row>
    <row r="44" spans="1:5" x14ac:dyDescent="0.2">
      <c r="A44" s="3" t="s">
        <v>25</v>
      </c>
      <c r="B44" s="7">
        <v>1.1953143676786994E-3</v>
      </c>
      <c r="C44" s="7">
        <v>1.8186778212239701E-4</v>
      </c>
      <c r="D44" s="7">
        <v>4.6113306982872198E-4</v>
      </c>
      <c r="E44" s="7">
        <v>6.9602709486166008E-4</v>
      </c>
    </row>
    <row r="45" spans="1:5" x14ac:dyDescent="0.2">
      <c r="A45" s="3" t="s">
        <v>26</v>
      </c>
      <c r="B45" s="7">
        <v>0</v>
      </c>
      <c r="C45" s="7">
        <v>6.3653723742838951E-4</v>
      </c>
      <c r="D45" s="7">
        <v>4.6113306982872198E-4</v>
      </c>
      <c r="E45" s="7">
        <v>3.13598117259552E-4</v>
      </c>
    </row>
    <row r="48" spans="1:5" x14ac:dyDescent="0.2">
      <c r="A48" s="12" t="s">
        <v>28</v>
      </c>
      <c r="B48" s="11" t="s">
        <v>3</v>
      </c>
      <c r="C48" s="11"/>
      <c r="D48" s="11" t="s">
        <v>14</v>
      </c>
      <c r="E48" s="11"/>
    </row>
    <row r="49" spans="1:6" x14ac:dyDescent="0.2">
      <c r="A49" s="12"/>
      <c r="B49" s="3" t="s">
        <v>10</v>
      </c>
      <c r="C49" s="3" t="s">
        <v>11</v>
      </c>
      <c r="D49" s="3" t="s">
        <v>15</v>
      </c>
      <c r="E49" s="3" t="s">
        <v>16</v>
      </c>
    </row>
    <row r="50" spans="1:6" x14ac:dyDescent="0.2">
      <c r="A50" s="3" t="s">
        <v>17</v>
      </c>
      <c r="B50" s="4">
        <v>1302</v>
      </c>
      <c r="C50" s="4">
        <v>3680</v>
      </c>
      <c r="D50" s="4">
        <v>4982</v>
      </c>
      <c r="E50" s="10">
        <v>4822.1428999999998</v>
      </c>
      <c r="F50" s="9"/>
    </row>
    <row r="51" spans="1:6" x14ac:dyDescent="0.2">
      <c r="A51" s="3"/>
      <c r="B51" s="5">
        <f>B50/B62</f>
        <v>0.26962103955270245</v>
      </c>
      <c r="C51" s="5">
        <f t="shared" ref="C51:D51" si="9">C50/C62</f>
        <v>0.31039136302294196</v>
      </c>
      <c r="D51" s="5">
        <f t="shared" si="9"/>
        <v>0.29859154929577464</v>
      </c>
      <c r="E51" s="7">
        <f>E50/E62</f>
        <v>0.28901066227150135</v>
      </c>
      <c r="F51" s="9"/>
    </row>
    <row r="52" spans="1:6" x14ac:dyDescent="0.2">
      <c r="A52" s="3" t="s">
        <v>18</v>
      </c>
      <c r="B52" s="3">
        <v>316</v>
      </c>
      <c r="C52" s="4">
        <v>2708</v>
      </c>
      <c r="D52" s="4">
        <v>3024</v>
      </c>
      <c r="E52" s="10">
        <v>2385.0100000000002</v>
      </c>
      <c r="F52" s="9"/>
    </row>
    <row r="53" spans="1:6" x14ac:dyDescent="0.2">
      <c r="A53" s="3"/>
      <c r="B53" s="5">
        <f>B52/B62</f>
        <v>6.5437978877614419E-2</v>
      </c>
      <c r="C53" s="5">
        <f t="shared" ref="C53:E53" si="10">C52/C62</f>
        <v>0.22840755735492577</v>
      </c>
      <c r="D53" s="5">
        <f t="shared" si="10"/>
        <v>0.18124063530116871</v>
      </c>
      <c r="E53" s="7">
        <f t="shared" si="10"/>
        <v>0.1429433623014684</v>
      </c>
      <c r="F53" s="9"/>
    </row>
    <row r="54" spans="1:6" x14ac:dyDescent="0.2">
      <c r="A54" s="3" t="s">
        <v>19</v>
      </c>
      <c r="B54" s="4">
        <v>2160</v>
      </c>
      <c r="C54" s="4">
        <v>4015</v>
      </c>
      <c r="D54" s="4">
        <v>6175</v>
      </c>
      <c r="E54" s="10">
        <v>6601.01</v>
      </c>
    </row>
    <row r="55" spans="1:6" x14ac:dyDescent="0.2">
      <c r="A55" s="3"/>
      <c r="B55" s="5">
        <f>B54/B62</f>
        <v>0.44729757713812385</v>
      </c>
      <c r="C55" s="5">
        <f t="shared" ref="C55:E55" si="11">C54/C62</f>
        <v>0.33864709851551955</v>
      </c>
      <c r="D55" s="5">
        <f t="shared" si="11"/>
        <v>0.37009289781240634</v>
      </c>
      <c r="E55" s="7">
        <f t="shared" si="11"/>
        <v>0.39562541204674861</v>
      </c>
    </row>
    <row r="56" spans="1:6" x14ac:dyDescent="0.2">
      <c r="A56" s="3" t="s">
        <v>24</v>
      </c>
      <c r="B56" s="4">
        <v>1045</v>
      </c>
      <c r="C56" s="4">
        <v>1437</v>
      </c>
      <c r="D56" s="4">
        <v>2482</v>
      </c>
      <c r="E56" s="10">
        <v>2855.2579999999998</v>
      </c>
      <c r="F56" s="1"/>
    </row>
    <row r="57" spans="1:6" x14ac:dyDescent="0.2">
      <c r="A57" s="3"/>
      <c r="B57" s="5">
        <f>B56/B62</f>
        <v>0.21640091116173121</v>
      </c>
      <c r="C57" s="5">
        <f t="shared" ref="C57:E57" si="12">C56/C62</f>
        <v>0.12120445344129555</v>
      </c>
      <c r="D57" s="5">
        <f t="shared" si="12"/>
        <v>0.14875636799520528</v>
      </c>
      <c r="E57" s="7">
        <f t="shared" si="12"/>
        <v>0.17112724003596044</v>
      </c>
    </row>
    <row r="58" spans="1:6" x14ac:dyDescent="0.2">
      <c r="A58" s="3" t="s">
        <v>25</v>
      </c>
      <c r="B58" s="3">
        <v>5</v>
      </c>
      <c r="C58" s="3">
        <v>4</v>
      </c>
      <c r="D58" s="3">
        <v>9</v>
      </c>
      <c r="E58" s="3">
        <v>11.736915</v>
      </c>
    </row>
    <row r="59" spans="1:6" x14ac:dyDescent="0.2">
      <c r="A59" s="3"/>
      <c r="B59" s="5">
        <f>B58/B62</f>
        <v>1.0354110581901014E-3</v>
      </c>
      <c r="C59" s="5">
        <f t="shared" ref="C59:E59" si="13">C58/C62</f>
        <v>3.3738191632928474E-4</v>
      </c>
      <c r="D59" s="5">
        <f t="shared" si="13"/>
        <v>5.3940665268204977E-4</v>
      </c>
      <c r="E59" s="7">
        <f t="shared" si="13"/>
        <v>7.0344111477374884E-4</v>
      </c>
    </row>
    <row r="60" spans="1:6" x14ac:dyDescent="0.2">
      <c r="A60" s="3" t="s">
        <v>26</v>
      </c>
      <c r="B60" s="3">
        <v>1</v>
      </c>
      <c r="C60" s="3">
        <v>12</v>
      </c>
      <c r="D60" s="3">
        <v>13</v>
      </c>
      <c r="E60" s="3">
        <v>9.8434117000000008</v>
      </c>
    </row>
    <row r="61" spans="1:6" x14ac:dyDescent="0.2">
      <c r="A61" s="3"/>
      <c r="B61" s="5">
        <f>B60/B62</f>
        <v>2.0708221163802029E-4</v>
      </c>
      <c r="C61" s="5">
        <f t="shared" ref="C61:E61" si="14">C60/C62</f>
        <v>1.0121457489878543E-3</v>
      </c>
      <c r="D61" s="5">
        <f t="shared" si="14"/>
        <v>7.7914294276296072E-4</v>
      </c>
      <c r="E61" s="7">
        <f t="shared" si="14"/>
        <v>5.899557506742584E-4</v>
      </c>
    </row>
    <row r="62" spans="1:6" x14ac:dyDescent="0.2">
      <c r="A62" s="3" t="s">
        <v>12</v>
      </c>
      <c r="B62" s="4">
        <v>4829</v>
      </c>
      <c r="C62" s="4">
        <v>11856</v>
      </c>
      <c r="D62" s="4">
        <v>16685</v>
      </c>
      <c r="E62" s="4">
        <v>16685</v>
      </c>
    </row>
    <row r="64" spans="1:6" x14ac:dyDescent="0.2">
      <c r="A64" s="6" t="s">
        <v>23</v>
      </c>
      <c r="B64" s="3" t="s">
        <v>10</v>
      </c>
      <c r="C64" s="3" t="s">
        <v>11</v>
      </c>
      <c r="D64" s="3" t="s">
        <v>15</v>
      </c>
      <c r="E64" s="3" t="s">
        <v>16</v>
      </c>
    </row>
    <row r="65" spans="1:5" x14ac:dyDescent="0.2">
      <c r="A65" s="3" t="s">
        <v>20</v>
      </c>
      <c r="B65" s="7">
        <v>0.269621039552702</v>
      </c>
      <c r="C65" s="7">
        <v>0.31039136302294196</v>
      </c>
      <c r="D65" s="7">
        <v>0.29859154929577464</v>
      </c>
      <c r="E65" s="7">
        <v>0.28901066227150135</v>
      </c>
    </row>
    <row r="66" spans="1:5" x14ac:dyDescent="0.2">
      <c r="A66" s="3" t="s">
        <v>21</v>
      </c>
      <c r="B66" s="7">
        <v>6.5437978877614419E-2</v>
      </c>
      <c r="C66" s="7">
        <v>0.22840755735492577</v>
      </c>
      <c r="D66" s="7">
        <v>0.18124063530116871</v>
      </c>
      <c r="E66" s="7">
        <v>0.1429433623014684</v>
      </c>
    </row>
    <row r="67" spans="1:5" x14ac:dyDescent="0.2">
      <c r="A67" s="3" t="s">
        <v>22</v>
      </c>
      <c r="B67" s="7">
        <v>0.44729757713812385</v>
      </c>
      <c r="C67" s="7">
        <v>0.33864709851551955</v>
      </c>
      <c r="D67" s="7">
        <v>0.37009289781240634</v>
      </c>
      <c r="E67" s="7">
        <v>0.39562541204674861</v>
      </c>
    </row>
    <row r="68" spans="1:5" x14ac:dyDescent="0.2">
      <c r="A68" s="3" t="s">
        <v>27</v>
      </c>
      <c r="B68" s="7">
        <v>0.21640091116173121</v>
      </c>
      <c r="C68" s="7">
        <v>0.12120445344129555</v>
      </c>
      <c r="D68" s="7">
        <v>0.14875636799520528</v>
      </c>
      <c r="E68" s="7">
        <v>0.17112724003596044</v>
      </c>
    </row>
    <row r="69" spans="1:5" x14ac:dyDescent="0.2">
      <c r="A69" s="3" t="s">
        <v>25</v>
      </c>
      <c r="B69" s="7">
        <v>1.0354110581901014E-3</v>
      </c>
      <c r="C69" s="7">
        <v>3.3738191632928474E-4</v>
      </c>
      <c r="D69" s="7">
        <v>5.3940665268204977E-4</v>
      </c>
      <c r="E69" s="7">
        <v>7.0344111477374884E-4</v>
      </c>
    </row>
    <row r="70" spans="1:5" x14ac:dyDescent="0.2">
      <c r="A70" s="3" t="s">
        <v>26</v>
      </c>
      <c r="B70" s="7">
        <v>2.0708221163802029E-4</v>
      </c>
      <c r="C70" s="7">
        <v>1.0121457489878543E-3</v>
      </c>
      <c r="D70" s="7">
        <v>7.7914294276296072E-4</v>
      </c>
      <c r="E70" s="7">
        <v>5.899557506742584E-4</v>
      </c>
    </row>
  </sheetData>
  <mergeCells count="11">
    <mergeCell ref="B48:C48"/>
    <mergeCell ref="A48:A49"/>
    <mergeCell ref="A1:E1"/>
    <mergeCell ref="G1:K1"/>
    <mergeCell ref="B7:C7"/>
    <mergeCell ref="A7:A8"/>
    <mergeCell ref="B23:C23"/>
    <mergeCell ref="A23:A24"/>
    <mergeCell ref="D7:E7"/>
    <mergeCell ref="D23:E23"/>
    <mergeCell ref="D48:E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9B09-E02E-472C-AB29-5C5D40414510}">
  <dimension ref="B2:J6"/>
  <sheetViews>
    <sheetView workbookViewId="0">
      <selection activeCell="E2" sqref="E2:F2"/>
    </sheetView>
  </sheetViews>
  <sheetFormatPr baseColWidth="10" defaultColWidth="8.83203125" defaultRowHeight="15" x14ac:dyDescent="0.2"/>
  <sheetData>
    <row r="2" spans="2:10" x14ac:dyDescent="0.2">
      <c r="C2" s="14" t="s">
        <v>29</v>
      </c>
      <c r="D2" s="14"/>
      <c r="E2" s="14" t="s">
        <v>30</v>
      </c>
      <c r="F2" s="14"/>
      <c r="G2" s="14" t="s">
        <v>31</v>
      </c>
      <c r="H2" s="14"/>
      <c r="I2" s="14" t="s">
        <v>32</v>
      </c>
      <c r="J2" s="14"/>
    </row>
    <row r="3" spans="2:10" x14ac:dyDescent="0.2">
      <c r="B3" s="3" t="s">
        <v>13</v>
      </c>
      <c r="C3" s="3" t="s">
        <v>10</v>
      </c>
      <c r="D3" s="3" t="s">
        <v>11</v>
      </c>
      <c r="E3" s="3" t="s">
        <v>10</v>
      </c>
      <c r="F3" s="3" t="s">
        <v>11</v>
      </c>
      <c r="G3" s="3" t="s">
        <v>10</v>
      </c>
      <c r="H3" s="3" t="s">
        <v>11</v>
      </c>
      <c r="I3" s="3" t="s">
        <v>10</v>
      </c>
      <c r="J3" s="3" t="s">
        <v>11</v>
      </c>
    </row>
    <row r="4" spans="2:10" x14ac:dyDescent="0.2">
      <c r="B4" s="3" t="s">
        <v>20</v>
      </c>
      <c r="C4" s="7">
        <v>0.24908536585365854</v>
      </c>
      <c r="D4" s="7">
        <v>0.23448451637568499</v>
      </c>
      <c r="E4" s="7">
        <v>0.35964728112534117</v>
      </c>
      <c r="F4" s="7">
        <v>0.10306465155331654</v>
      </c>
      <c r="G4" s="7">
        <v>0.28470310656704678</v>
      </c>
      <c r="H4" s="7">
        <v>8.8363552903373888E-2</v>
      </c>
      <c r="I4" s="7">
        <v>0.3724062613760466</v>
      </c>
      <c r="J4" s="7">
        <v>6.8234209313047481E-2</v>
      </c>
    </row>
    <row r="5" spans="2:10" x14ac:dyDescent="0.2">
      <c r="B5" s="3" t="s">
        <v>21</v>
      </c>
      <c r="C5" s="7">
        <v>8.9329268292682923E-2</v>
      </c>
      <c r="D5" s="7">
        <v>0.36217662801070472</v>
      </c>
      <c r="E5" s="7">
        <v>6.5504933865211001E-2</v>
      </c>
      <c r="F5" s="7">
        <v>0.21074727120067172</v>
      </c>
      <c r="G5" s="7">
        <v>0.12033031852143138</v>
      </c>
      <c r="H5" s="7">
        <v>0.2507459260959376</v>
      </c>
      <c r="I5" s="7">
        <v>8.3727702948671281E-2</v>
      </c>
      <c r="J5" s="7">
        <v>0.26994006454587366</v>
      </c>
    </row>
    <row r="6" spans="2:10" x14ac:dyDescent="0.2">
      <c r="B6" s="3" t="s">
        <v>22</v>
      </c>
      <c r="C6" s="7">
        <v>0.66158536585365857</v>
      </c>
      <c r="D6" s="7">
        <v>0.40333885561361027</v>
      </c>
      <c r="E6" s="7">
        <v>0.57484778500944778</v>
      </c>
      <c r="F6" s="7">
        <v>0.68618807724601172</v>
      </c>
      <c r="G6" s="7">
        <v>0.59496657491152183</v>
      </c>
      <c r="H6" s="7">
        <v>0.66089052100068857</v>
      </c>
      <c r="I6" s="7">
        <v>0.54386603567528213</v>
      </c>
      <c r="J6" s="7">
        <v>0.66182572614107882</v>
      </c>
    </row>
  </sheetData>
  <mergeCells count="4"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E7AB-D69C-4D61-83FE-1CB43A1B0D9A}">
  <dimension ref="A1:L70"/>
  <sheetViews>
    <sheetView topLeftCell="A7" workbookViewId="0">
      <selection activeCell="B19" sqref="B19:C21"/>
    </sheetView>
  </sheetViews>
  <sheetFormatPr baseColWidth="10" defaultColWidth="8.83203125" defaultRowHeight="15" x14ac:dyDescent="0.2"/>
  <cols>
    <col min="1" max="1" width="18.5" bestFit="1" customWidth="1"/>
    <col min="4" max="4" width="17.5" bestFit="1" customWidth="1"/>
    <col min="5" max="5" width="22.6640625" bestFit="1" customWidth="1"/>
    <col min="8" max="8" width="9.6640625" bestFit="1" customWidth="1"/>
    <col min="12" max="12" width="20" bestFit="1" customWidth="1"/>
  </cols>
  <sheetData>
    <row r="1" spans="1:12" x14ac:dyDescent="0.2">
      <c r="A1" s="13" t="s">
        <v>33</v>
      </c>
      <c r="B1" s="13"/>
      <c r="C1" s="13"/>
      <c r="D1" s="13"/>
      <c r="E1" s="13"/>
      <c r="G1" s="13" t="s">
        <v>34</v>
      </c>
      <c r="H1" s="13"/>
      <c r="I1" s="13"/>
      <c r="J1" s="13"/>
      <c r="K1" s="13"/>
    </row>
    <row r="2" spans="1:12" x14ac:dyDescent="0.2">
      <c r="A2" t="s">
        <v>3</v>
      </c>
      <c r="B2" t="s">
        <v>4</v>
      </c>
      <c r="C2" t="s">
        <v>8</v>
      </c>
      <c r="D2" t="s">
        <v>6</v>
      </c>
      <c r="G2" t="s">
        <v>7</v>
      </c>
      <c r="H2" t="s">
        <v>4</v>
      </c>
      <c r="I2" t="s">
        <v>8</v>
      </c>
      <c r="J2" t="s">
        <v>6</v>
      </c>
      <c r="L2" t="s">
        <v>9</v>
      </c>
    </row>
    <row r="3" spans="1:12" x14ac:dyDescent="0.2">
      <c r="A3" t="s">
        <v>10</v>
      </c>
      <c r="B3" s="1">
        <v>9597</v>
      </c>
      <c r="C3" s="2">
        <f>B3/B5</f>
        <v>0.46823770491803279</v>
      </c>
      <c r="D3">
        <f>B5/B3</f>
        <v>2.1356673960612693</v>
      </c>
      <c r="G3" t="s">
        <v>10</v>
      </c>
      <c r="H3" s="1">
        <v>7889421</v>
      </c>
      <c r="I3" s="2">
        <f>H3/H5</f>
        <v>0.5197596623593721</v>
      </c>
      <c r="J3">
        <f>H3/H5</f>
        <v>0.5197596623593721</v>
      </c>
      <c r="K3" t="s">
        <v>10</v>
      </c>
      <c r="L3">
        <f>D3*J3</f>
        <v>1.1100337646887248</v>
      </c>
    </row>
    <row r="4" spans="1:12" x14ac:dyDescent="0.2">
      <c r="A4" t="s">
        <v>11</v>
      </c>
      <c r="B4" s="1">
        <v>10899</v>
      </c>
      <c r="C4" s="2">
        <f>B4/B5</f>
        <v>0.53176229508196726</v>
      </c>
      <c r="D4">
        <f>B5/B4</f>
        <v>1.8805394990366089</v>
      </c>
      <c r="G4" t="s">
        <v>11</v>
      </c>
      <c r="H4" s="1">
        <v>7289558</v>
      </c>
      <c r="I4" s="2">
        <f>H4/H5</f>
        <v>0.48024033764062785</v>
      </c>
      <c r="J4">
        <f>H4/H5</f>
        <v>0.48024033764062785</v>
      </c>
      <c r="K4" t="s">
        <v>11</v>
      </c>
      <c r="L4">
        <f>D4*J4</f>
        <v>0.90311092396387815</v>
      </c>
    </row>
    <row r="5" spans="1:12" x14ac:dyDescent="0.2">
      <c r="A5" t="s">
        <v>12</v>
      </c>
      <c r="B5" s="1">
        <v>20496</v>
      </c>
      <c r="G5" t="s">
        <v>12</v>
      </c>
      <c r="H5" s="1">
        <v>15178979</v>
      </c>
    </row>
    <row r="7" spans="1:12" x14ac:dyDescent="0.2">
      <c r="L7" s="8"/>
    </row>
    <row r="8" spans="1:12" x14ac:dyDescent="0.2">
      <c r="A8" s="12" t="s">
        <v>13</v>
      </c>
      <c r="B8" s="11" t="s">
        <v>3</v>
      </c>
      <c r="C8" s="11"/>
      <c r="D8" s="11" t="s">
        <v>14</v>
      </c>
      <c r="E8" s="11"/>
    </row>
    <row r="9" spans="1:12" x14ac:dyDescent="0.2">
      <c r="A9" s="12"/>
      <c r="B9" s="3" t="s">
        <v>10</v>
      </c>
      <c r="C9" s="3" t="s">
        <v>11</v>
      </c>
      <c r="D9" s="3" t="s">
        <v>35</v>
      </c>
      <c r="E9" s="3" t="s">
        <v>36</v>
      </c>
    </row>
    <row r="10" spans="1:12" x14ac:dyDescent="0.2">
      <c r="A10" s="3" t="s">
        <v>17</v>
      </c>
      <c r="B10" s="4">
        <v>1713</v>
      </c>
      <c r="C10" s="3">
        <v>491</v>
      </c>
      <c r="D10" s="4">
        <v>2204</v>
      </c>
      <c r="E10" s="3">
        <v>2329.6289999999999</v>
      </c>
    </row>
    <row r="11" spans="1:12" x14ac:dyDescent="0.2">
      <c r="A11" s="3"/>
      <c r="B11" s="7">
        <f>B10/B16</f>
        <v>0.35964728112534117</v>
      </c>
      <c r="C11" s="7">
        <f t="shared" ref="C11:D11" si="0">C10/C16</f>
        <v>0.10306465155331654</v>
      </c>
      <c r="D11" s="7">
        <f t="shared" si="0"/>
        <v>0.2313425002624121</v>
      </c>
      <c r="E11" s="7">
        <f>E10/E16</f>
        <v>0.24452912774220636</v>
      </c>
    </row>
    <row r="12" spans="1:12" x14ac:dyDescent="0.2">
      <c r="A12" s="3" t="s">
        <v>18</v>
      </c>
      <c r="B12" s="3">
        <v>312</v>
      </c>
      <c r="C12" s="4">
        <v>1004</v>
      </c>
      <c r="D12" s="4">
        <v>1316</v>
      </c>
      <c r="E12" s="3">
        <v>1244.8856000000001</v>
      </c>
    </row>
    <row r="13" spans="1:12" x14ac:dyDescent="0.2">
      <c r="A13" s="3"/>
      <c r="B13" s="7">
        <f>B12/B16</f>
        <v>6.5504933865211001E-2</v>
      </c>
      <c r="C13" s="7">
        <f t="shared" ref="C13:E13" si="1">C12/C16</f>
        <v>0.21074727120067172</v>
      </c>
      <c r="D13" s="7">
        <f t="shared" si="1"/>
        <v>0.1381337252020573</v>
      </c>
      <c r="E13" s="7">
        <f t="shared" si="1"/>
        <v>0.13066921381337251</v>
      </c>
    </row>
    <row r="14" spans="1:12" x14ac:dyDescent="0.2">
      <c r="A14" s="3" t="s">
        <v>19</v>
      </c>
      <c r="B14" s="4">
        <v>2738</v>
      </c>
      <c r="C14" s="4">
        <v>3269</v>
      </c>
      <c r="D14" s="4">
        <v>6007</v>
      </c>
      <c r="E14" s="3">
        <v>5952.4849999999997</v>
      </c>
    </row>
    <row r="15" spans="1:12" x14ac:dyDescent="0.2">
      <c r="A15" s="3"/>
      <c r="B15" s="7">
        <f>B14/B16</f>
        <v>0.57484778500944778</v>
      </c>
      <c r="C15" s="7">
        <f t="shared" ref="C15:E15" si="2">C14/C16</f>
        <v>0.68618807724601172</v>
      </c>
      <c r="D15" s="7">
        <f t="shared" si="2"/>
        <v>0.63052377453553055</v>
      </c>
      <c r="E15" s="7">
        <f t="shared" si="2"/>
        <v>0.62480161645848642</v>
      </c>
    </row>
    <row r="16" spans="1:12" x14ac:dyDescent="0.2">
      <c r="A16" s="3" t="s">
        <v>12</v>
      </c>
      <c r="B16" s="4">
        <v>4763</v>
      </c>
      <c r="C16" s="4">
        <v>4764</v>
      </c>
      <c r="D16" s="4">
        <v>9527</v>
      </c>
      <c r="E16" s="3">
        <v>9527</v>
      </c>
    </row>
    <row r="18" spans="1:5" x14ac:dyDescent="0.2">
      <c r="A18" s="3" t="s">
        <v>13</v>
      </c>
      <c r="B18" s="3" t="s">
        <v>10</v>
      </c>
      <c r="C18" s="3" t="s">
        <v>11</v>
      </c>
      <c r="D18" s="3" t="s">
        <v>15</v>
      </c>
      <c r="E18" s="3" t="s">
        <v>16</v>
      </c>
    </row>
    <row r="19" spans="1:5" x14ac:dyDescent="0.2">
      <c r="A19" s="3" t="s">
        <v>20</v>
      </c>
      <c r="B19" s="7">
        <v>0.35964728112534117</v>
      </c>
      <c r="C19" s="7">
        <v>0.10306465155331654</v>
      </c>
      <c r="D19" s="7">
        <v>0.2313425002624121</v>
      </c>
      <c r="E19" s="7">
        <v>0.24452912774220636</v>
      </c>
    </row>
    <row r="20" spans="1:5" x14ac:dyDescent="0.2">
      <c r="A20" s="3" t="s">
        <v>21</v>
      </c>
      <c r="B20" s="7">
        <v>6.5504933865211001E-2</v>
      </c>
      <c r="C20" s="7">
        <v>0.21074727120067172</v>
      </c>
      <c r="D20" s="7">
        <v>0.1381337252020573</v>
      </c>
      <c r="E20" s="7">
        <v>0.13066921381337251</v>
      </c>
    </row>
    <row r="21" spans="1:5" x14ac:dyDescent="0.2">
      <c r="A21" s="3" t="s">
        <v>22</v>
      </c>
      <c r="B21" s="7">
        <v>0.57484778500944778</v>
      </c>
      <c r="C21" s="7">
        <v>0.68618807724601172</v>
      </c>
      <c r="D21" s="7">
        <v>0.63052377453553055</v>
      </c>
      <c r="E21" s="7">
        <v>0.62480161645848642</v>
      </c>
    </row>
    <row r="24" spans="1:5" x14ac:dyDescent="0.2">
      <c r="A24" s="12" t="s">
        <v>23</v>
      </c>
      <c r="B24" s="11" t="s">
        <v>3</v>
      </c>
      <c r="C24" s="11"/>
      <c r="D24" s="11" t="s">
        <v>37</v>
      </c>
      <c r="E24" s="11"/>
    </row>
    <row r="25" spans="1:5" x14ac:dyDescent="0.2">
      <c r="A25" s="12"/>
      <c r="B25" s="3" t="s">
        <v>10</v>
      </c>
      <c r="C25" s="3" t="s">
        <v>11</v>
      </c>
      <c r="D25" s="3" t="s">
        <v>15</v>
      </c>
      <c r="E25" s="3" t="s">
        <v>16</v>
      </c>
    </row>
    <row r="26" spans="1:5" x14ac:dyDescent="0.2">
      <c r="A26" s="3" t="s">
        <v>17</v>
      </c>
      <c r="B26" s="4">
        <v>1481</v>
      </c>
      <c r="C26" s="3">
        <v>405</v>
      </c>
      <c r="D26" s="4">
        <v>1886</v>
      </c>
      <c r="E26" s="3">
        <v>2001.0229999999999</v>
      </c>
    </row>
    <row r="27" spans="1:5" x14ac:dyDescent="0.2">
      <c r="A27" s="3"/>
      <c r="B27" s="7">
        <f>B26/B38</f>
        <v>0.23772070626003211</v>
      </c>
      <c r="C27" s="7">
        <f t="shared" ref="C27:E27" si="3">C26/C38</f>
        <v>6.226937269372694E-2</v>
      </c>
      <c r="D27" s="7">
        <f t="shared" si="3"/>
        <v>0.1481074289304225</v>
      </c>
      <c r="E27" s="7">
        <f t="shared" si="3"/>
        <v>0.15714017590702056</v>
      </c>
    </row>
    <row r="28" spans="1:5" x14ac:dyDescent="0.2">
      <c r="A28" s="3" t="s">
        <v>18</v>
      </c>
      <c r="B28" s="3">
        <v>372</v>
      </c>
      <c r="C28" s="4">
        <v>1264</v>
      </c>
      <c r="D28" s="4">
        <v>1636</v>
      </c>
      <c r="E28" s="3">
        <v>1547.7380000000001</v>
      </c>
    </row>
    <row r="29" spans="1:5" x14ac:dyDescent="0.2">
      <c r="A29" s="3"/>
      <c r="B29" s="7">
        <f>B28/B38</f>
        <v>5.971107544141252E-2</v>
      </c>
      <c r="C29" s="7">
        <f t="shared" ref="C29:E29" si="4">C28/C38</f>
        <v>0.1943419434194342</v>
      </c>
      <c r="D29" s="7">
        <f t="shared" si="4"/>
        <v>0.12847494895555206</v>
      </c>
      <c r="E29" s="7">
        <f t="shared" si="4"/>
        <v>0.12154374116538401</v>
      </c>
    </row>
    <row r="30" spans="1:5" x14ac:dyDescent="0.2">
      <c r="A30" s="3" t="s">
        <v>19</v>
      </c>
      <c r="B30" s="4">
        <v>1401</v>
      </c>
      <c r="C30" s="4">
        <v>1947</v>
      </c>
      <c r="D30" s="4">
        <v>3348</v>
      </c>
      <c r="E30" s="3">
        <v>3299.1759999999999</v>
      </c>
    </row>
    <row r="31" spans="1:5" x14ac:dyDescent="0.2">
      <c r="A31" s="3"/>
      <c r="B31" s="7">
        <f>B30/B38</f>
        <v>0.22487961476725521</v>
      </c>
      <c r="C31" s="7">
        <f t="shared" ref="C31:E31" si="5">C30/C38</f>
        <v>0.29935424354243545</v>
      </c>
      <c r="D31" s="7">
        <f t="shared" si="5"/>
        <v>0.26291817182346472</v>
      </c>
      <c r="E31" s="7">
        <f t="shared" si="5"/>
        <v>0.25908402701429245</v>
      </c>
    </row>
    <row r="32" spans="1:5" x14ac:dyDescent="0.2">
      <c r="A32" s="3" t="s">
        <v>24</v>
      </c>
      <c r="B32" s="4">
        <v>2783</v>
      </c>
      <c r="C32" s="4">
        <v>2718</v>
      </c>
      <c r="D32" s="4">
        <v>5501</v>
      </c>
      <c r="E32" s="3">
        <v>5519.8890000000001</v>
      </c>
    </row>
    <row r="33" spans="1:5" x14ac:dyDescent="0.2">
      <c r="A33" s="3"/>
      <c r="B33" s="7">
        <f>B32/B38</f>
        <v>0.44670947030497593</v>
      </c>
      <c r="C33" s="7">
        <f t="shared" ref="C33:E33" si="6">C32/C38</f>
        <v>0.41789667896678967</v>
      </c>
      <c r="D33" s="7">
        <f t="shared" si="6"/>
        <v>0.43199308936704883</v>
      </c>
      <c r="E33" s="7">
        <f t="shared" si="6"/>
        <v>0.43347644102403016</v>
      </c>
    </row>
    <row r="34" spans="1:5" x14ac:dyDescent="0.2">
      <c r="A34" s="3" t="s">
        <v>25</v>
      </c>
      <c r="B34" s="3">
        <v>95</v>
      </c>
      <c r="C34" s="3">
        <v>74</v>
      </c>
      <c r="D34" s="3">
        <v>169</v>
      </c>
      <c r="E34" s="3">
        <v>171.53789</v>
      </c>
    </row>
    <row r="35" spans="1:5" x14ac:dyDescent="0.2">
      <c r="A35" s="3"/>
      <c r="B35" s="7">
        <f>B34/B38</f>
        <v>1.5248796147672551E-2</v>
      </c>
      <c r="C35" s="7">
        <f t="shared" ref="C35:E35" si="7">C34/C38</f>
        <v>1.1377613776137762E-2</v>
      </c>
      <c r="D35" s="7">
        <f t="shared" si="7"/>
        <v>1.3271556463012408E-2</v>
      </c>
      <c r="E35" s="7">
        <f t="shared" si="7"/>
        <v>1.3470856761426104E-2</v>
      </c>
    </row>
    <row r="36" spans="1:5" x14ac:dyDescent="0.2">
      <c r="A36" s="3" t="s">
        <v>26</v>
      </c>
      <c r="B36" s="3">
        <v>98</v>
      </c>
      <c r="C36" s="3">
        <v>96</v>
      </c>
      <c r="D36" s="3">
        <v>194</v>
      </c>
      <c r="E36" s="3">
        <v>194.63604000000001</v>
      </c>
    </row>
    <row r="37" spans="1:5" x14ac:dyDescent="0.2">
      <c r="A37" s="3"/>
      <c r="B37" s="7">
        <f>B36/B38</f>
        <v>1.5730337078651686E-2</v>
      </c>
      <c r="C37" s="7">
        <f t="shared" ref="C37:E37" si="8">C36/C38</f>
        <v>1.4760147601476014E-2</v>
      </c>
      <c r="D37" s="7">
        <f t="shared" si="8"/>
        <v>1.523480446049945E-2</v>
      </c>
      <c r="E37" s="7">
        <f t="shared" si="8"/>
        <v>1.5284752630752317E-2</v>
      </c>
    </row>
    <row r="38" spans="1:5" x14ac:dyDescent="0.2">
      <c r="A38" s="3" t="s">
        <v>12</v>
      </c>
      <c r="B38" s="4">
        <v>6230</v>
      </c>
      <c r="C38" s="4">
        <v>6504</v>
      </c>
      <c r="D38" s="4">
        <v>12734</v>
      </c>
      <c r="E38" s="3">
        <v>12734</v>
      </c>
    </row>
    <row r="40" spans="1:5" x14ac:dyDescent="0.2">
      <c r="A40" s="6" t="s">
        <v>23</v>
      </c>
      <c r="B40" s="3" t="s">
        <v>10</v>
      </c>
      <c r="C40" s="3" t="s">
        <v>11</v>
      </c>
      <c r="D40" s="3" t="s">
        <v>15</v>
      </c>
      <c r="E40" s="3" t="s">
        <v>16</v>
      </c>
    </row>
    <row r="41" spans="1:5" x14ac:dyDescent="0.2">
      <c r="A41" s="3" t="s">
        <v>20</v>
      </c>
      <c r="B41" s="7">
        <v>0.23772070626003211</v>
      </c>
      <c r="C41" s="7">
        <v>6.226937269372694E-2</v>
      </c>
      <c r="D41" s="7">
        <v>0.1481074289304225</v>
      </c>
      <c r="E41" s="7">
        <v>0.15714017590702056</v>
      </c>
    </row>
    <row r="42" spans="1:5" x14ac:dyDescent="0.2">
      <c r="A42" s="3" t="s">
        <v>21</v>
      </c>
      <c r="B42" s="7">
        <v>5.971107544141252E-2</v>
      </c>
      <c r="C42" s="7">
        <v>0.1943419434194342</v>
      </c>
      <c r="D42" s="7">
        <v>0.12847494895555206</v>
      </c>
      <c r="E42" s="7">
        <v>0.12154374116538401</v>
      </c>
    </row>
    <row r="43" spans="1:5" x14ac:dyDescent="0.2">
      <c r="A43" s="3" t="s">
        <v>22</v>
      </c>
      <c r="B43" s="7">
        <v>0.22487961476725521</v>
      </c>
      <c r="C43" s="7">
        <v>0.29935424354243545</v>
      </c>
      <c r="D43" s="7">
        <v>0.26291817182346472</v>
      </c>
      <c r="E43" s="7">
        <v>0.25908402701429245</v>
      </c>
    </row>
    <row r="44" spans="1:5" x14ac:dyDescent="0.2">
      <c r="A44" s="3" t="s">
        <v>27</v>
      </c>
      <c r="B44" s="7">
        <v>0.44670947030497593</v>
      </c>
      <c r="C44" s="7">
        <v>0.41789667896678967</v>
      </c>
      <c r="D44" s="7">
        <v>0.43199308936704883</v>
      </c>
      <c r="E44" s="7">
        <v>0.43347644102403016</v>
      </c>
    </row>
    <row r="45" spans="1:5" x14ac:dyDescent="0.2">
      <c r="A45" s="3" t="s">
        <v>25</v>
      </c>
      <c r="B45" s="7">
        <v>1.5248796147672551E-2</v>
      </c>
      <c r="C45" s="7">
        <v>1.1377613776137762E-2</v>
      </c>
      <c r="D45" s="7">
        <v>1.3271556463012408E-2</v>
      </c>
      <c r="E45" s="7">
        <v>1.3470856761426104E-2</v>
      </c>
    </row>
    <row r="46" spans="1:5" x14ac:dyDescent="0.2">
      <c r="A46" s="3" t="s">
        <v>26</v>
      </c>
      <c r="B46" s="7">
        <v>1.5730337078651686E-2</v>
      </c>
      <c r="C46" s="7">
        <v>1.4760147601476014E-2</v>
      </c>
      <c r="D46" s="7">
        <v>1.523480446049945E-2</v>
      </c>
      <c r="E46" s="7">
        <v>1.5284752630752317E-2</v>
      </c>
    </row>
    <row r="48" spans="1:5" x14ac:dyDescent="0.2">
      <c r="A48" s="12" t="s">
        <v>28</v>
      </c>
      <c r="B48" s="11" t="s">
        <v>3</v>
      </c>
      <c r="C48" s="11"/>
      <c r="D48" s="11" t="s">
        <v>37</v>
      </c>
      <c r="E48" s="11"/>
    </row>
    <row r="49" spans="1:5" x14ac:dyDescent="0.2">
      <c r="A49" s="12"/>
      <c r="B49" s="3" t="s">
        <v>10</v>
      </c>
      <c r="C49" s="3" t="s">
        <v>11</v>
      </c>
      <c r="D49" s="3" t="s">
        <v>15</v>
      </c>
      <c r="E49" s="3" t="s">
        <v>16</v>
      </c>
    </row>
    <row r="50" spans="1:5" x14ac:dyDescent="0.2">
      <c r="A50" s="3" t="s">
        <v>17</v>
      </c>
      <c r="B50" s="4">
        <v>1908</v>
      </c>
      <c r="C50" s="3">
        <v>497</v>
      </c>
      <c r="D50" s="4">
        <v>2405</v>
      </c>
      <c r="E50" s="3">
        <v>2554.5590000000002</v>
      </c>
    </row>
    <row r="51" spans="1:5" x14ac:dyDescent="0.2">
      <c r="A51" s="3"/>
      <c r="B51" s="7">
        <f>B50/B62</f>
        <v>0.30858806404657935</v>
      </c>
      <c r="C51" s="7">
        <f t="shared" ref="C51:E51" si="9">C50/C62</f>
        <v>7.7656249999999996E-2</v>
      </c>
      <c r="D51" s="7">
        <f t="shared" si="9"/>
        <v>0.19113089088452676</v>
      </c>
      <c r="E51" s="7">
        <f t="shared" si="9"/>
        <v>0.20301668918381946</v>
      </c>
    </row>
    <row r="52" spans="1:5" x14ac:dyDescent="0.2">
      <c r="A52" s="3" t="s">
        <v>18</v>
      </c>
      <c r="B52" s="3">
        <v>275</v>
      </c>
      <c r="C52" s="4">
        <v>1370</v>
      </c>
      <c r="D52" s="4">
        <v>1645</v>
      </c>
      <c r="E52" s="3">
        <v>1535.1706999999999</v>
      </c>
    </row>
    <row r="53" spans="1:5" x14ac:dyDescent="0.2">
      <c r="A53" s="3"/>
      <c r="B53" s="7">
        <f>B52/B62</f>
        <v>4.4476791201682034E-2</v>
      </c>
      <c r="C53" s="7">
        <f t="shared" ref="C53:E53" si="10">C52/C62</f>
        <v>0.21406249999999999</v>
      </c>
      <c r="D53" s="7">
        <f t="shared" si="10"/>
        <v>0.13073193991893825</v>
      </c>
      <c r="E53" s="7">
        <f t="shared" si="10"/>
        <v>0.12200355241198442</v>
      </c>
    </row>
    <row r="54" spans="1:5" x14ac:dyDescent="0.2">
      <c r="A54" s="3" t="s">
        <v>19</v>
      </c>
      <c r="B54" s="4">
        <v>1305</v>
      </c>
      <c r="C54" s="4">
        <v>1995</v>
      </c>
      <c r="D54" s="4">
        <v>3300</v>
      </c>
      <c r="E54" s="3">
        <v>3234.8119999999999</v>
      </c>
    </row>
    <row r="55" spans="1:5" x14ac:dyDescent="0.2">
      <c r="A55" s="3"/>
      <c r="B55" s="7">
        <f>B54/B62</f>
        <v>0.21106259097525473</v>
      </c>
      <c r="C55" s="7">
        <f t="shared" ref="C55:E55" si="11">C54/C62</f>
        <v>0.31171874999999999</v>
      </c>
      <c r="D55" s="7">
        <f t="shared" si="11"/>
        <v>0.2622586028768974</v>
      </c>
      <c r="E55" s="7">
        <f t="shared" si="11"/>
        <v>0.25707796233012792</v>
      </c>
    </row>
    <row r="56" spans="1:5" x14ac:dyDescent="0.2">
      <c r="A56" s="3" t="s">
        <v>24</v>
      </c>
      <c r="B56" s="4">
        <v>2371</v>
      </c>
      <c r="C56" s="4">
        <v>2281</v>
      </c>
      <c r="D56" s="4">
        <v>4652</v>
      </c>
      <c r="E56" s="3">
        <v>4669.5279</v>
      </c>
    </row>
    <row r="57" spans="1:5" x14ac:dyDescent="0.2">
      <c r="A57" s="3"/>
      <c r="B57" s="7">
        <f>B56/B62</f>
        <v>0.38347080705159309</v>
      </c>
      <c r="C57" s="7">
        <f t="shared" ref="C57:E57" si="12">C56/C62</f>
        <v>0.35640624999999998</v>
      </c>
      <c r="D57" s="7">
        <f t="shared" si="12"/>
        <v>0.36970515775252327</v>
      </c>
      <c r="E57" s="7">
        <f t="shared" si="12"/>
        <v>0.37109814034808869</v>
      </c>
    </row>
    <row r="58" spans="1:5" x14ac:dyDescent="0.2">
      <c r="A58" s="3" t="s">
        <v>25</v>
      </c>
      <c r="B58" s="3">
        <v>141</v>
      </c>
      <c r="C58" s="3">
        <v>104</v>
      </c>
      <c r="D58" s="3">
        <v>245</v>
      </c>
      <c r="E58" s="3">
        <v>249.24489</v>
      </c>
    </row>
    <row r="59" spans="1:5" x14ac:dyDescent="0.2">
      <c r="A59" s="3"/>
      <c r="B59" s="7">
        <f>B58/B62</f>
        <v>2.2804463852498787E-2</v>
      </c>
      <c r="C59" s="7">
        <f t="shared" ref="C59:E59" si="13">C58/C62</f>
        <v>1.6250000000000001E-2</v>
      </c>
      <c r="D59" s="7">
        <f t="shared" si="13"/>
        <v>1.9470714456012079E-2</v>
      </c>
      <c r="E59" s="7">
        <f t="shared" si="13"/>
        <v>1.9808065644123022E-2</v>
      </c>
    </row>
    <row r="60" spans="1:5" x14ac:dyDescent="0.2">
      <c r="A60" s="3" t="s">
        <v>26</v>
      </c>
      <c r="B60" s="3">
        <v>183</v>
      </c>
      <c r="C60" s="3">
        <v>153</v>
      </c>
      <c r="D60" s="3">
        <v>336</v>
      </c>
      <c r="E60" s="3">
        <v>339.6857</v>
      </c>
    </row>
    <row r="61" spans="1:5" x14ac:dyDescent="0.2">
      <c r="A61" s="3"/>
      <c r="B61" s="7">
        <f>B60/B62</f>
        <v>2.9597282872392043E-2</v>
      </c>
      <c r="C61" s="7">
        <f t="shared" ref="C61:E61" si="14">C60/C62</f>
        <v>2.390625E-2</v>
      </c>
      <c r="D61" s="7">
        <f t="shared" si="14"/>
        <v>2.6702694111102279E-2</v>
      </c>
      <c r="E61" s="7">
        <f t="shared" si="14"/>
        <v>2.6995605181594214E-2</v>
      </c>
    </row>
    <row r="62" spans="1:5" x14ac:dyDescent="0.2">
      <c r="A62" s="3" t="s">
        <v>12</v>
      </c>
      <c r="B62" s="4">
        <v>6183</v>
      </c>
      <c r="C62" s="4">
        <v>6400</v>
      </c>
      <c r="D62" s="4">
        <v>12583</v>
      </c>
      <c r="E62" s="3">
        <v>12583</v>
      </c>
    </row>
    <row r="64" spans="1:5" x14ac:dyDescent="0.2">
      <c r="A64" s="6" t="s">
        <v>23</v>
      </c>
      <c r="B64" s="3" t="s">
        <v>10</v>
      </c>
      <c r="C64" s="3" t="s">
        <v>11</v>
      </c>
      <c r="D64" s="3" t="s">
        <v>15</v>
      </c>
      <c r="E64" s="3" t="s">
        <v>16</v>
      </c>
    </row>
    <row r="65" spans="1:5" x14ac:dyDescent="0.2">
      <c r="A65" s="3" t="s">
        <v>20</v>
      </c>
      <c r="B65" s="7">
        <v>0.30858806404657935</v>
      </c>
      <c r="C65" s="7">
        <v>7.7656249999999996E-2</v>
      </c>
      <c r="D65" s="7">
        <v>0.19113089088452676</v>
      </c>
      <c r="E65" s="7">
        <v>0.20301668918381946</v>
      </c>
    </row>
    <row r="66" spans="1:5" x14ac:dyDescent="0.2">
      <c r="A66" s="3" t="s">
        <v>21</v>
      </c>
      <c r="B66" s="7">
        <v>4.4476791201682034E-2</v>
      </c>
      <c r="C66" s="7">
        <v>0.21406249999999999</v>
      </c>
      <c r="D66" s="7">
        <v>0.13073193991893825</v>
      </c>
      <c r="E66" s="7">
        <v>0.12200355241198442</v>
      </c>
    </row>
    <row r="67" spans="1:5" x14ac:dyDescent="0.2">
      <c r="A67" s="3" t="s">
        <v>22</v>
      </c>
      <c r="B67" s="7">
        <v>0.21106259097525473</v>
      </c>
      <c r="C67" s="7">
        <v>0.31171874999999999</v>
      </c>
      <c r="D67" s="7">
        <v>0.2622586028768974</v>
      </c>
      <c r="E67" s="7">
        <v>0.25707796233012792</v>
      </c>
    </row>
    <row r="68" spans="1:5" x14ac:dyDescent="0.2">
      <c r="A68" s="3" t="s">
        <v>27</v>
      </c>
      <c r="B68" s="7">
        <v>0.38347080705159309</v>
      </c>
      <c r="C68" s="7">
        <v>0.35640624999999998</v>
      </c>
      <c r="D68" s="7">
        <v>0.36970515775252327</v>
      </c>
      <c r="E68" s="7">
        <v>0.37109814034808869</v>
      </c>
    </row>
    <row r="69" spans="1:5" x14ac:dyDescent="0.2">
      <c r="A69" s="3" t="s">
        <v>25</v>
      </c>
      <c r="B69" s="7">
        <v>2.2804463852498787E-2</v>
      </c>
      <c r="C69" s="7">
        <v>1.6250000000000001E-2</v>
      </c>
      <c r="D69" s="7">
        <v>1.9470714456012079E-2</v>
      </c>
      <c r="E69" s="7">
        <v>1.9808065644123022E-2</v>
      </c>
    </row>
    <row r="70" spans="1:5" x14ac:dyDescent="0.2">
      <c r="A70" s="3" t="s">
        <v>26</v>
      </c>
      <c r="B70" s="7">
        <v>2.9597282872392043E-2</v>
      </c>
      <c r="C70" s="7">
        <v>2.390625E-2</v>
      </c>
      <c r="D70" s="7">
        <v>2.6702694111102279E-2</v>
      </c>
      <c r="E70" s="7">
        <v>2.6995605181594214E-2</v>
      </c>
    </row>
  </sheetData>
  <mergeCells count="11">
    <mergeCell ref="A48:A49"/>
    <mergeCell ref="B48:C48"/>
    <mergeCell ref="D8:E8"/>
    <mergeCell ref="D24:E24"/>
    <mergeCell ref="D48:E48"/>
    <mergeCell ref="A1:E1"/>
    <mergeCell ref="G1:K1"/>
    <mergeCell ref="A8:A9"/>
    <mergeCell ref="B8:C8"/>
    <mergeCell ref="A24:A25"/>
    <mergeCell ref="B24:C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6095-6A71-4647-90B3-D202DD83909D}">
  <dimension ref="A1:L70"/>
  <sheetViews>
    <sheetView workbookViewId="0">
      <selection activeCell="B19" sqref="B19:C21"/>
    </sheetView>
  </sheetViews>
  <sheetFormatPr baseColWidth="10" defaultColWidth="8.83203125" defaultRowHeight="15" x14ac:dyDescent="0.2"/>
  <cols>
    <col min="1" max="1" width="18.5" bestFit="1" customWidth="1"/>
    <col min="4" max="4" width="17.5" bestFit="1" customWidth="1"/>
    <col min="5" max="5" width="22.6640625" bestFit="1" customWidth="1"/>
    <col min="8" max="8" width="9.6640625" bestFit="1" customWidth="1"/>
    <col min="12" max="12" width="20" bestFit="1" customWidth="1"/>
  </cols>
  <sheetData>
    <row r="1" spans="1:12" x14ac:dyDescent="0.2">
      <c r="A1" s="13" t="s">
        <v>38</v>
      </c>
      <c r="B1" s="13"/>
      <c r="C1" s="13"/>
      <c r="D1" s="13"/>
      <c r="E1" s="13"/>
      <c r="G1" s="13" t="s">
        <v>39</v>
      </c>
      <c r="H1" s="13"/>
      <c r="I1" s="13"/>
      <c r="J1" s="13"/>
      <c r="K1" s="13"/>
    </row>
    <row r="2" spans="1:12" x14ac:dyDescent="0.2">
      <c r="A2" t="s">
        <v>3</v>
      </c>
      <c r="B2" t="s">
        <v>4</v>
      </c>
      <c r="C2" t="s">
        <v>8</v>
      </c>
      <c r="D2" t="s">
        <v>6</v>
      </c>
      <c r="G2" t="s">
        <v>7</v>
      </c>
      <c r="H2" t="s">
        <v>4</v>
      </c>
      <c r="I2" t="s">
        <v>8</v>
      </c>
      <c r="J2" t="s">
        <v>6</v>
      </c>
      <c r="L2" t="s">
        <v>9</v>
      </c>
    </row>
    <row r="3" spans="1:12" x14ac:dyDescent="0.2">
      <c r="A3" t="s">
        <v>10</v>
      </c>
      <c r="B3" s="1">
        <v>11137</v>
      </c>
      <c r="C3" s="2">
        <f>B3/B5</f>
        <v>0.33555287737270262</v>
      </c>
      <c r="D3">
        <f>B5/B3</f>
        <v>2.9801562359701896</v>
      </c>
      <c r="G3" t="s">
        <v>10</v>
      </c>
      <c r="H3" s="1">
        <v>10218942</v>
      </c>
      <c r="I3" s="2">
        <f>H3/H5</f>
        <v>0.51377951508873265</v>
      </c>
      <c r="J3">
        <f>H3/H5</f>
        <v>0.51377951508873265</v>
      </c>
      <c r="K3" t="s">
        <v>10</v>
      </c>
      <c r="L3">
        <f>D3*J3</f>
        <v>1.5311432258054267</v>
      </c>
    </row>
    <row r="4" spans="1:12" x14ac:dyDescent="0.2">
      <c r="A4" t="s">
        <v>11</v>
      </c>
      <c r="B4" s="1">
        <v>22053</v>
      </c>
      <c r="C4" s="2">
        <f>B4/B5</f>
        <v>0.66444712262729733</v>
      </c>
      <c r="D4">
        <f>B5/B4</f>
        <v>1.5050106561465559</v>
      </c>
      <c r="G4" t="s">
        <v>11</v>
      </c>
      <c r="H4" s="1">
        <v>9670800</v>
      </c>
      <c r="I4" s="2">
        <f>H4/H5</f>
        <v>0.48622048491126735</v>
      </c>
      <c r="J4">
        <f>H4/H5</f>
        <v>0.48622048491126735</v>
      </c>
      <c r="K4" t="s">
        <v>11</v>
      </c>
      <c r="L4">
        <f>D4*J4</f>
        <v>0.73176701102820307</v>
      </c>
    </row>
    <row r="5" spans="1:12" x14ac:dyDescent="0.2">
      <c r="A5" t="s">
        <v>12</v>
      </c>
      <c r="B5" s="1">
        <v>33190</v>
      </c>
      <c r="G5" t="s">
        <v>12</v>
      </c>
      <c r="H5" s="1">
        <v>19889742</v>
      </c>
    </row>
    <row r="7" spans="1:12" x14ac:dyDescent="0.2">
      <c r="L7" s="8"/>
    </row>
    <row r="8" spans="1:12" x14ac:dyDescent="0.2">
      <c r="A8" s="12" t="s">
        <v>13</v>
      </c>
      <c r="B8" s="11" t="s">
        <v>3</v>
      </c>
      <c r="C8" s="11"/>
      <c r="D8" s="11" t="s">
        <v>14</v>
      </c>
      <c r="E8" s="11"/>
    </row>
    <row r="9" spans="1:12" x14ac:dyDescent="0.2">
      <c r="A9" s="12"/>
      <c r="B9" s="3" t="s">
        <v>10</v>
      </c>
      <c r="C9" s="3" t="s">
        <v>11</v>
      </c>
      <c r="D9" s="3" t="s">
        <v>35</v>
      </c>
      <c r="E9" s="3" t="s">
        <v>36</v>
      </c>
    </row>
    <row r="10" spans="1:12" x14ac:dyDescent="0.2">
      <c r="A10" s="3" t="s">
        <v>17</v>
      </c>
      <c r="B10" s="4">
        <v>1448</v>
      </c>
      <c r="C10" s="3">
        <v>770</v>
      </c>
      <c r="D10" s="4">
        <v>2218</v>
      </c>
      <c r="E10" s="10">
        <v>2709.096</v>
      </c>
      <c r="F10" s="9"/>
    </row>
    <row r="11" spans="1:12" x14ac:dyDescent="0.2">
      <c r="A11" s="3"/>
      <c r="B11" s="7">
        <f>B10/B16</f>
        <v>0.28470310656704678</v>
      </c>
      <c r="C11" s="7">
        <f t="shared" ref="C11:D11" si="0">C10/C16</f>
        <v>8.8363552903373888E-2</v>
      </c>
      <c r="D11" s="7">
        <f t="shared" si="0"/>
        <v>0.16072463768115941</v>
      </c>
      <c r="E11" s="7">
        <f>E10/E16</f>
        <v>0.19631130434782609</v>
      </c>
      <c r="F11" s="9"/>
    </row>
    <row r="12" spans="1:12" x14ac:dyDescent="0.2">
      <c r="A12" s="3" t="s">
        <v>18</v>
      </c>
      <c r="B12" s="3">
        <v>612</v>
      </c>
      <c r="C12" s="4">
        <v>2185</v>
      </c>
      <c r="D12" s="4">
        <v>2797</v>
      </c>
      <c r="E12" s="10">
        <v>2470.797</v>
      </c>
      <c r="F12" s="9"/>
    </row>
    <row r="13" spans="1:12" x14ac:dyDescent="0.2">
      <c r="A13" s="3"/>
      <c r="B13" s="7">
        <f>B12/B16</f>
        <v>0.12033031852143138</v>
      </c>
      <c r="C13" s="7">
        <f t="shared" ref="C13:E13" si="1">C12/C16</f>
        <v>0.2507459260959376</v>
      </c>
      <c r="D13" s="7">
        <f t="shared" si="1"/>
        <v>0.20268115942028986</v>
      </c>
      <c r="E13" s="7">
        <f t="shared" si="1"/>
        <v>0.17904326086956521</v>
      </c>
      <c r="F13" s="1"/>
    </row>
    <row r="14" spans="1:12" x14ac:dyDescent="0.2">
      <c r="A14" s="3" t="s">
        <v>19</v>
      </c>
      <c r="B14" s="4">
        <v>3026</v>
      </c>
      <c r="C14" s="4">
        <v>5759</v>
      </c>
      <c r="D14" s="4">
        <v>8785</v>
      </c>
      <c r="E14" s="10">
        <v>8620.107</v>
      </c>
    </row>
    <row r="15" spans="1:12" x14ac:dyDescent="0.2">
      <c r="A15" s="3"/>
      <c r="B15" s="7">
        <f>B14/B16</f>
        <v>0.59496657491152183</v>
      </c>
      <c r="C15" s="7">
        <f t="shared" ref="C15:E15" si="2">C14/C16</f>
        <v>0.66089052100068857</v>
      </c>
      <c r="D15" s="7">
        <f t="shared" si="2"/>
        <v>0.63659420289855073</v>
      </c>
      <c r="E15" s="7">
        <f t="shared" si="2"/>
        <v>0.6246454347826087</v>
      </c>
    </row>
    <row r="16" spans="1:12" x14ac:dyDescent="0.2">
      <c r="A16" s="3" t="s">
        <v>12</v>
      </c>
      <c r="B16" s="4">
        <v>5086</v>
      </c>
      <c r="C16" s="4">
        <v>8714</v>
      </c>
      <c r="D16" s="4">
        <v>13800</v>
      </c>
      <c r="E16" s="4">
        <v>13800</v>
      </c>
    </row>
    <row r="18" spans="1:8" x14ac:dyDescent="0.2">
      <c r="A18" s="3" t="s">
        <v>13</v>
      </c>
      <c r="B18" s="3" t="s">
        <v>10</v>
      </c>
      <c r="C18" s="3" t="s">
        <v>11</v>
      </c>
      <c r="D18" s="3" t="s">
        <v>15</v>
      </c>
      <c r="E18" s="3" t="s">
        <v>16</v>
      </c>
    </row>
    <row r="19" spans="1:8" x14ac:dyDescent="0.2">
      <c r="A19" s="3" t="s">
        <v>20</v>
      </c>
      <c r="B19" s="7">
        <v>0.28470310656704678</v>
      </c>
      <c r="C19" s="7">
        <v>8.8363552903373888E-2</v>
      </c>
      <c r="D19" s="7">
        <v>0.16072463768115941</v>
      </c>
      <c r="E19" s="7">
        <v>0.19631130434782609</v>
      </c>
    </row>
    <row r="20" spans="1:8" x14ac:dyDescent="0.2">
      <c r="A20" s="3" t="s">
        <v>21</v>
      </c>
      <c r="B20" s="7">
        <v>0.12033031852143138</v>
      </c>
      <c r="C20" s="7">
        <v>0.2507459260959376</v>
      </c>
      <c r="D20" s="7">
        <v>0.20268115942028986</v>
      </c>
      <c r="E20" s="7">
        <v>0.17904326086956521</v>
      </c>
    </row>
    <row r="21" spans="1:8" x14ac:dyDescent="0.2">
      <c r="A21" s="3" t="s">
        <v>22</v>
      </c>
      <c r="B21" s="7">
        <v>0.59496657491152183</v>
      </c>
      <c r="C21" s="7">
        <v>0.66089052100068857</v>
      </c>
      <c r="D21" s="7">
        <v>0.63659420289855073</v>
      </c>
      <c r="E21" s="7">
        <v>0.6246454347826087</v>
      </c>
    </row>
    <row r="24" spans="1:8" x14ac:dyDescent="0.2">
      <c r="A24" s="12" t="s">
        <v>23</v>
      </c>
      <c r="B24" s="11" t="s">
        <v>3</v>
      </c>
      <c r="C24" s="11"/>
      <c r="D24" s="11" t="s">
        <v>37</v>
      </c>
      <c r="E24" s="11"/>
    </row>
    <row r="25" spans="1:8" x14ac:dyDescent="0.2">
      <c r="A25" s="12"/>
      <c r="B25" s="3" t="s">
        <v>10</v>
      </c>
      <c r="C25" s="3" t="s">
        <v>11</v>
      </c>
      <c r="D25" s="3" t="s">
        <v>15</v>
      </c>
      <c r="E25" s="3" t="s">
        <v>16</v>
      </c>
    </row>
    <row r="26" spans="1:8" x14ac:dyDescent="0.2">
      <c r="A26" s="3" t="s">
        <v>17</v>
      </c>
      <c r="B26" s="4">
        <v>1134</v>
      </c>
      <c r="C26" s="3">
        <v>770</v>
      </c>
      <c r="D26" s="4">
        <v>1904</v>
      </c>
      <c r="E26" s="3">
        <v>2255.2919999999999</v>
      </c>
      <c r="F26" s="9"/>
      <c r="H26" s="1"/>
    </row>
    <row r="27" spans="1:8" x14ac:dyDescent="0.2">
      <c r="A27" s="3"/>
      <c r="B27" s="7">
        <f>B26/B38</f>
        <v>0.18499184339314845</v>
      </c>
      <c r="C27" s="7">
        <f>C26/C38</f>
        <v>7.0726554606411321E-2</v>
      </c>
      <c r="D27" s="7">
        <f>D26/D38</f>
        <v>0.11188811188811189</v>
      </c>
      <c r="E27" s="7">
        <f t="shared" ref="E27" si="3">E26/E38</f>
        <v>0.13253170359052713</v>
      </c>
      <c r="F27" s="9"/>
      <c r="G27" s="1"/>
      <c r="H27" s="1"/>
    </row>
    <row r="28" spans="1:8" x14ac:dyDescent="0.2">
      <c r="A28" s="3" t="s">
        <v>18</v>
      </c>
      <c r="B28" s="3">
        <v>560</v>
      </c>
      <c r="C28" s="4">
        <v>2361</v>
      </c>
      <c r="D28" s="4">
        <v>2921</v>
      </c>
      <c r="E28" s="3">
        <v>2535.1370000000002</v>
      </c>
      <c r="F28" s="9"/>
      <c r="G28" s="1"/>
      <c r="H28" s="1"/>
    </row>
    <row r="29" spans="1:8" x14ac:dyDescent="0.2">
      <c r="A29" s="3"/>
      <c r="B29" s="7">
        <f>B28/B38</f>
        <v>9.1353996737357265E-2</v>
      </c>
      <c r="C29" s="7">
        <f t="shared" ref="C29:E29" si="4">C28/C38</f>
        <v>0.21686414990355471</v>
      </c>
      <c r="D29" s="7">
        <f t="shared" si="4"/>
        <v>0.17165187753423047</v>
      </c>
      <c r="E29" s="7">
        <f t="shared" si="4"/>
        <v>0.14897672915319976</v>
      </c>
      <c r="F29" s="9"/>
      <c r="G29" s="1"/>
      <c r="H29" s="1"/>
    </row>
    <row r="30" spans="1:8" x14ac:dyDescent="0.2">
      <c r="A30" s="3" t="s">
        <v>19</v>
      </c>
      <c r="B30" s="4">
        <v>1493</v>
      </c>
      <c r="C30" s="4">
        <v>2952</v>
      </c>
      <c r="D30" s="4">
        <v>4445</v>
      </c>
      <c r="E30" s="3">
        <v>4360.17</v>
      </c>
    </row>
    <row r="31" spans="1:8" x14ac:dyDescent="0.2">
      <c r="A31" s="3"/>
      <c r="B31" s="7">
        <f>B30/B38</f>
        <v>0.24355628058727569</v>
      </c>
      <c r="C31" s="7">
        <f t="shared" ref="C31:E31" si="5">C30/C38</f>
        <v>0.2711490768806834</v>
      </c>
      <c r="D31" s="7">
        <f t="shared" si="5"/>
        <v>0.26120937885643769</v>
      </c>
      <c r="E31" s="7">
        <f t="shared" si="5"/>
        <v>0.25622436387142272</v>
      </c>
    </row>
    <row r="32" spans="1:8" x14ac:dyDescent="0.2">
      <c r="A32" s="3" t="s">
        <v>24</v>
      </c>
      <c r="B32" s="4">
        <v>2359</v>
      </c>
      <c r="C32" s="4">
        <v>3873</v>
      </c>
      <c r="D32" s="4">
        <v>6232</v>
      </c>
      <c r="E32" s="3">
        <v>6321.4120000000003</v>
      </c>
      <c r="F32" s="1"/>
      <c r="G32" s="1"/>
      <c r="H32" s="1"/>
    </row>
    <row r="33" spans="1:5" x14ac:dyDescent="0.2">
      <c r="A33" s="3"/>
      <c r="B33" s="7">
        <f>B32/B38</f>
        <v>0.38482871125611745</v>
      </c>
      <c r="C33" s="7">
        <f t="shared" ref="C33:E33" si="6">C32/C38</f>
        <v>0.35574538440341691</v>
      </c>
      <c r="D33" s="7">
        <f t="shared" si="6"/>
        <v>0.36622201328083681</v>
      </c>
      <c r="E33" s="7">
        <f t="shared" si="6"/>
        <v>0.37147628841746488</v>
      </c>
    </row>
    <row r="34" spans="1:5" x14ac:dyDescent="0.2">
      <c r="A34" s="3" t="s">
        <v>25</v>
      </c>
      <c r="B34" s="3">
        <v>267</v>
      </c>
      <c r="C34" s="3">
        <v>419</v>
      </c>
      <c r="D34" s="3">
        <v>686</v>
      </c>
      <c r="E34" s="3">
        <v>701.58702000000005</v>
      </c>
    </row>
    <row r="35" spans="1:5" x14ac:dyDescent="0.2">
      <c r="A35" s="3"/>
      <c r="B35" s="7">
        <f>B34/B38</f>
        <v>4.3556280587275696E-2</v>
      </c>
      <c r="C35" s="7">
        <f t="shared" ref="C35:E35" si="7">C34/C38</f>
        <v>3.8486268026086158E-2</v>
      </c>
      <c r="D35" s="7">
        <f t="shared" si="7"/>
        <v>4.0312628547922669E-2</v>
      </c>
      <c r="E35" s="7">
        <f t="shared" si="7"/>
        <v>4.1228596109772586E-2</v>
      </c>
    </row>
    <row r="36" spans="1:5" x14ac:dyDescent="0.2">
      <c r="A36" s="3" t="s">
        <v>26</v>
      </c>
      <c r="B36" s="3">
        <v>317</v>
      </c>
      <c r="C36" s="3">
        <v>512</v>
      </c>
      <c r="D36" s="3">
        <v>829</v>
      </c>
      <c r="E36" s="3">
        <v>843.40126999999995</v>
      </c>
    </row>
    <row r="37" spans="1:5" x14ac:dyDescent="0.2">
      <c r="A37" s="3"/>
      <c r="B37" s="7">
        <f>B36/B38</f>
        <v>5.1712887438825447E-2</v>
      </c>
      <c r="C37" s="7">
        <f t="shared" ref="C37:E37" si="8">C36/C38</f>
        <v>4.7028566179847527E-2</v>
      </c>
      <c r="D37" s="7">
        <f t="shared" si="8"/>
        <v>4.8715989892460482E-2</v>
      </c>
      <c r="E37" s="7">
        <f t="shared" si="8"/>
        <v>4.9562277134630073E-2</v>
      </c>
    </row>
    <row r="38" spans="1:5" x14ac:dyDescent="0.2">
      <c r="A38" s="3" t="s">
        <v>12</v>
      </c>
      <c r="B38" s="4">
        <v>6130</v>
      </c>
      <c r="C38" s="4">
        <v>10887</v>
      </c>
      <c r="D38" s="4">
        <v>17017</v>
      </c>
      <c r="E38" s="3">
        <v>17017</v>
      </c>
    </row>
    <row r="40" spans="1:5" x14ac:dyDescent="0.2">
      <c r="A40" s="6" t="s">
        <v>23</v>
      </c>
      <c r="B40" s="3" t="s">
        <v>10</v>
      </c>
      <c r="C40" s="3" t="s">
        <v>11</v>
      </c>
      <c r="D40" s="3" t="s">
        <v>15</v>
      </c>
      <c r="E40" s="3" t="s">
        <v>16</v>
      </c>
    </row>
    <row r="41" spans="1:5" x14ac:dyDescent="0.2">
      <c r="A41" s="3" t="s">
        <v>20</v>
      </c>
      <c r="B41" s="7">
        <v>0.18499184339314845</v>
      </c>
      <c r="C41" s="7">
        <v>7.0726554606411321E-2</v>
      </c>
      <c r="D41" s="7">
        <v>0.11188811188811189</v>
      </c>
      <c r="E41" s="7">
        <v>0.13253170359052713</v>
      </c>
    </row>
    <row r="42" spans="1:5" x14ac:dyDescent="0.2">
      <c r="A42" s="3" t="s">
        <v>21</v>
      </c>
      <c r="B42" s="7">
        <v>9.1353996737357265E-2</v>
      </c>
      <c r="C42" s="7">
        <v>0.21686414990355471</v>
      </c>
      <c r="D42" s="7">
        <v>0.17165187753423047</v>
      </c>
      <c r="E42" s="7">
        <v>0.14897672915319976</v>
      </c>
    </row>
    <row r="43" spans="1:5" x14ac:dyDescent="0.2">
      <c r="A43" s="3" t="s">
        <v>22</v>
      </c>
      <c r="B43" s="7">
        <v>0.24355628058727569</v>
      </c>
      <c r="C43" s="7">
        <v>0.2711490768806834</v>
      </c>
      <c r="D43" s="7">
        <v>0.26120937885643769</v>
      </c>
      <c r="E43" s="7">
        <v>0.25622436387142272</v>
      </c>
    </row>
    <row r="44" spans="1:5" x14ac:dyDescent="0.2">
      <c r="A44" s="3" t="s">
        <v>27</v>
      </c>
      <c r="B44" s="7">
        <v>0.38482871125611745</v>
      </c>
      <c r="C44" s="7">
        <v>0.35574538440341691</v>
      </c>
      <c r="D44" s="7">
        <v>0.36622201328083681</v>
      </c>
      <c r="E44" s="7">
        <v>0.37147628841746488</v>
      </c>
    </row>
    <row r="45" spans="1:5" x14ac:dyDescent="0.2">
      <c r="A45" s="3" t="s">
        <v>25</v>
      </c>
      <c r="B45" s="7">
        <v>4.3556280587275696E-2</v>
      </c>
      <c r="C45" s="7">
        <v>3.8486268026086158E-2</v>
      </c>
      <c r="D45" s="7">
        <v>4.0312628547922669E-2</v>
      </c>
      <c r="E45" s="7">
        <v>4.1228596109772586E-2</v>
      </c>
    </row>
    <row r="46" spans="1:5" x14ac:dyDescent="0.2">
      <c r="A46" s="3" t="s">
        <v>26</v>
      </c>
      <c r="B46" s="7">
        <v>5.1712887438825447E-2</v>
      </c>
      <c r="C46" s="7">
        <v>4.7028566179847527E-2</v>
      </c>
      <c r="D46" s="7">
        <v>4.8715989892460482E-2</v>
      </c>
      <c r="E46" s="7">
        <v>4.9562277134630073E-2</v>
      </c>
    </row>
    <row r="48" spans="1:5" x14ac:dyDescent="0.2">
      <c r="A48" s="12" t="s">
        <v>28</v>
      </c>
      <c r="B48" s="11" t="s">
        <v>3</v>
      </c>
      <c r="C48" s="11"/>
      <c r="D48" s="11" t="s">
        <v>37</v>
      </c>
      <c r="E48" s="11"/>
    </row>
    <row r="49" spans="1:5" x14ac:dyDescent="0.2">
      <c r="A49" s="12"/>
      <c r="B49" s="3" t="s">
        <v>10</v>
      </c>
      <c r="C49" s="3" t="s">
        <v>11</v>
      </c>
      <c r="D49" s="3" t="s">
        <v>15</v>
      </c>
      <c r="E49" s="3" t="s">
        <v>16</v>
      </c>
    </row>
    <row r="50" spans="1:5" x14ac:dyDescent="0.2">
      <c r="A50" s="3" t="s">
        <v>17</v>
      </c>
      <c r="B50" s="4">
        <v>941</v>
      </c>
      <c r="C50" s="3">
        <v>666</v>
      </c>
      <c r="D50" s="4">
        <v>1607</v>
      </c>
      <c r="E50" s="10">
        <v>1892.2670000000001</v>
      </c>
    </row>
    <row r="51" spans="1:5" x14ac:dyDescent="0.2">
      <c r="A51" s="3"/>
      <c r="B51" s="7">
        <f>B50/B62</f>
        <v>0.13036852313660294</v>
      </c>
      <c r="C51" s="7">
        <f t="shared" ref="C51:E51" si="9">C50/C62</f>
        <v>5.1740211311373525E-2</v>
      </c>
      <c r="D51" s="7">
        <f t="shared" si="9"/>
        <v>7.999004479840717E-2</v>
      </c>
      <c r="E51" s="7">
        <f t="shared" si="9"/>
        <v>9.4189497262319566E-2</v>
      </c>
    </row>
    <row r="52" spans="1:5" x14ac:dyDescent="0.2">
      <c r="A52" s="3" t="s">
        <v>18</v>
      </c>
      <c r="B52" s="3">
        <v>434</v>
      </c>
      <c r="C52" s="4">
        <v>1817</v>
      </c>
      <c r="D52" s="4">
        <v>2251</v>
      </c>
      <c r="E52" s="10">
        <v>1957.0133000000001</v>
      </c>
    </row>
    <row r="53" spans="1:5" x14ac:dyDescent="0.2">
      <c r="A53" s="3"/>
      <c r="B53" s="7">
        <f>B52/B62</f>
        <v>6.0127459129952897E-2</v>
      </c>
      <c r="C53" s="7">
        <f t="shared" ref="C53:E53" si="10">C52/C62</f>
        <v>0.14115910503418272</v>
      </c>
      <c r="D53" s="7">
        <f t="shared" si="10"/>
        <v>0.11204579392732703</v>
      </c>
      <c r="E53" s="7">
        <f t="shared" si="10"/>
        <v>9.741230960676954E-2</v>
      </c>
    </row>
    <row r="54" spans="1:5" x14ac:dyDescent="0.2">
      <c r="A54" s="3" t="s">
        <v>19</v>
      </c>
      <c r="B54" s="4">
        <v>1448</v>
      </c>
      <c r="C54" s="4">
        <v>2929</v>
      </c>
      <c r="D54" s="4">
        <v>4377</v>
      </c>
      <c r="E54" s="10">
        <v>4279.2659999999996</v>
      </c>
    </row>
    <row r="55" spans="1:5" x14ac:dyDescent="0.2">
      <c r="A55" s="3"/>
      <c r="B55" s="7">
        <f>B54/B62</f>
        <v>0.20060958714325297</v>
      </c>
      <c r="C55" s="7">
        <f t="shared" ref="C55:E55" si="11">C54/C62</f>
        <v>0.22754816656308266</v>
      </c>
      <c r="D55" s="7">
        <f t="shared" si="11"/>
        <v>0.21786958685913391</v>
      </c>
      <c r="E55" s="7">
        <f t="shared" si="11"/>
        <v>0.21300477849676455</v>
      </c>
    </row>
    <row r="56" spans="1:5" x14ac:dyDescent="0.2">
      <c r="A56" s="3" t="s">
        <v>24</v>
      </c>
      <c r="B56" s="4">
        <v>3334</v>
      </c>
      <c r="C56" s="4">
        <v>5895</v>
      </c>
      <c r="D56" s="4">
        <v>9229</v>
      </c>
      <c r="E56" s="10">
        <v>9243.2579999999998</v>
      </c>
    </row>
    <row r="57" spans="1:5" x14ac:dyDescent="0.2">
      <c r="A57" s="3"/>
      <c r="B57" s="7">
        <f>B56/B62</f>
        <v>0.46190080354668883</v>
      </c>
      <c r="C57" s="7">
        <f t="shared" ref="C57:E57" si="12">C56/C62</f>
        <v>0.45797078931013052</v>
      </c>
      <c r="D57" s="7">
        <f t="shared" si="12"/>
        <v>0.4593827775012444</v>
      </c>
      <c r="E57" s="7">
        <f t="shared" si="12"/>
        <v>0.46009248382279738</v>
      </c>
    </row>
    <row r="58" spans="1:5" x14ac:dyDescent="0.2">
      <c r="A58" s="3" t="s">
        <v>25</v>
      </c>
      <c r="B58" s="3">
        <v>480</v>
      </c>
      <c r="C58" s="3">
        <v>669</v>
      </c>
      <c r="D58" s="4">
        <v>1149</v>
      </c>
      <c r="E58" s="10">
        <v>1201.7049999999999</v>
      </c>
    </row>
    <row r="59" spans="1:5" x14ac:dyDescent="0.2">
      <c r="A59" s="3"/>
      <c r="B59" s="7">
        <f>B58/B62</f>
        <v>6.6500415627597675E-2</v>
      </c>
      <c r="C59" s="7">
        <f t="shared" ref="C59:E59" si="13">C58/C62</f>
        <v>5.197327532628962E-2</v>
      </c>
      <c r="D59" s="7">
        <f t="shared" si="13"/>
        <v>5.7192633150821306E-2</v>
      </c>
      <c r="E59" s="7">
        <f t="shared" si="13"/>
        <v>5.9816077650572418E-2</v>
      </c>
    </row>
    <row r="60" spans="1:5" x14ac:dyDescent="0.2">
      <c r="A60" s="3" t="s">
        <v>26</v>
      </c>
      <c r="B60" s="3">
        <v>581</v>
      </c>
      <c r="C60" s="3">
        <v>896</v>
      </c>
      <c r="D60" s="4">
        <v>1477</v>
      </c>
      <c r="E60" s="10">
        <v>1516.49</v>
      </c>
    </row>
    <row r="61" spans="1:5" x14ac:dyDescent="0.2">
      <c r="A61" s="3"/>
      <c r="B61" s="7">
        <f>B60/B62</f>
        <v>8.0493211415904681E-2</v>
      </c>
      <c r="C61" s="7">
        <f t="shared" ref="C61:E61" si="14">C60/C62</f>
        <v>6.9608452454940961E-2</v>
      </c>
      <c r="D61" s="7">
        <f t="shared" si="14"/>
        <v>7.3519163763066206E-2</v>
      </c>
      <c r="E61" s="7">
        <f t="shared" si="14"/>
        <v>7.5484818317570937E-2</v>
      </c>
    </row>
    <row r="62" spans="1:5" x14ac:dyDescent="0.2">
      <c r="A62" s="3" t="s">
        <v>12</v>
      </c>
      <c r="B62" s="4">
        <v>7218</v>
      </c>
      <c r="C62" s="4">
        <v>12872</v>
      </c>
      <c r="D62" s="4">
        <v>20090</v>
      </c>
      <c r="E62" s="4">
        <v>20090</v>
      </c>
    </row>
    <row r="64" spans="1:5" x14ac:dyDescent="0.2">
      <c r="A64" s="6" t="s">
        <v>23</v>
      </c>
      <c r="B64" s="3" t="s">
        <v>10</v>
      </c>
      <c r="C64" s="3" t="s">
        <v>11</v>
      </c>
      <c r="D64" s="3" t="s">
        <v>15</v>
      </c>
      <c r="E64" s="3" t="s">
        <v>16</v>
      </c>
    </row>
    <row r="65" spans="1:5" x14ac:dyDescent="0.2">
      <c r="A65" s="3" t="s">
        <v>20</v>
      </c>
      <c r="B65" s="7">
        <v>0.13036852313660294</v>
      </c>
      <c r="C65" s="7">
        <v>5.1740211311373525E-2</v>
      </c>
      <c r="D65" s="7">
        <v>7.999004479840717E-2</v>
      </c>
      <c r="E65" s="7">
        <v>9.4189497262319566E-2</v>
      </c>
    </row>
    <row r="66" spans="1:5" x14ac:dyDescent="0.2">
      <c r="A66" s="3" t="s">
        <v>21</v>
      </c>
      <c r="B66" s="7">
        <v>6.0127459129952897E-2</v>
      </c>
      <c r="C66" s="7">
        <v>0.14115910503418272</v>
      </c>
      <c r="D66" s="7">
        <v>0.11204579392732703</v>
      </c>
      <c r="E66" s="7">
        <v>9.741230960676954E-2</v>
      </c>
    </row>
    <row r="67" spans="1:5" x14ac:dyDescent="0.2">
      <c r="A67" s="3" t="s">
        <v>22</v>
      </c>
      <c r="B67" s="7">
        <v>0.20060958714325297</v>
      </c>
      <c r="C67" s="7">
        <v>0.22754816656308266</v>
      </c>
      <c r="D67" s="7">
        <v>0.21786958685913391</v>
      </c>
      <c r="E67" s="7">
        <v>0.21300477849676455</v>
      </c>
    </row>
    <row r="68" spans="1:5" x14ac:dyDescent="0.2">
      <c r="A68" s="3" t="s">
        <v>27</v>
      </c>
      <c r="B68" s="7">
        <v>0.46190080354668883</v>
      </c>
      <c r="C68" s="7">
        <v>0.45797078931013052</v>
      </c>
      <c r="D68" s="7">
        <v>0.4593827775012444</v>
      </c>
      <c r="E68" s="7">
        <v>0.46009248382279738</v>
      </c>
    </row>
    <row r="69" spans="1:5" x14ac:dyDescent="0.2">
      <c r="A69" s="3" t="s">
        <v>25</v>
      </c>
      <c r="B69" s="7">
        <v>6.6500415627597675E-2</v>
      </c>
      <c r="C69" s="7">
        <v>5.197327532628962E-2</v>
      </c>
      <c r="D69" s="7">
        <v>5.7192633150821306E-2</v>
      </c>
      <c r="E69" s="7">
        <v>5.9816077650572418E-2</v>
      </c>
    </row>
    <row r="70" spans="1:5" x14ac:dyDescent="0.2">
      <c r="A70" s="3" t="s">
        <v>26</v>
      </c>
      <c r="B70" s="7">
        <v>8.0493211415904681E-2</v>
      </c>
      <c r="C70" s="7">
        <v>6.9608452454940961E-2</v>
      </c>
      <c r="D70" s="7">
        <v>7.3519163763066206E-2</v>
      </c>
      <c r="E70" s="7">
        <v>7.5484818317570937E-2</v>
      </c>
    </row>
  </sheetData>
  <mergeCells count="11">
    <mergeCell ref="A48:A49"/>
    <mergeCell ref="B48:C48"/>
    <mergeCell ref="D48:E48"/>
    <mergeCell ref="A1:E1"/>
    <mergeCell ref="G1:K1"/>
    <mergeCell ref="A8:A9"/>
    <mergeCell ref="B8:C8"/>
    <mergeCell ref="D8:E8"/>
    <mergeCell ref="A24:A25"/>
    <mergeCell ref="B24:C24"/>
    <mergeCell ref="D24:E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AD88-2C81-4818-8902-2F70E10446E0}">
  <dimension ref="A1:L70"/>
  <sheetViews>
    <sheetView tabSelected="1" workbookViewId="0">
      <selection activeCell="B19" sqref="B19:C21"/>
    </sheetView>
  </sheetViews>
  <sheetFormatPr baseColWidth="10" defaultColWidth="8.83203125" defaultRowHeight="15" x14ac:dyDescent="0.2"/>
  <cols>
    <col min="1" max="1" width="18.5" bestFit="1" customWidth="1"/>
    <col min="4" max="4" width="17.5" bestFit="1" customWidth="1"/>
    <col min="5" max="5" width="22.6640625" bestFit="1" customWidth="1"/>
    <col min="8" max="8" width="9.6640625" bestFit="1" customWidth="1"/>
    <col min="12" max="12" width="20" bestFit="1" customWidth="1"/>
  </cols>
  <sheetData>
    <row r="1" spans="1:12" x14ac:dyDescent="0.2">
      <c r="A1" s="13" t="s">
        <v>38</v>
      </c>
      <c r="B1" s="13"/>
      <c r="C1" s="13"/>
      <c r="D1" s="13"/>
      <c r="E1" s="13"/>
      <c r="G1" s="13" t="s">
        <v>39</v>
      </c>
      <c r="H1" s="13"/>
      <c r="I1" s="13"/>
      <c r="J1" s="13"/>
      <c r="K1" s="13"/>
    </row>
    <row r="2" spans="1:12" x14ac:dyDescent="0.2">
      <c r="A2" t="s">
        <v>3</v>
      </c>
      <c r="B2" t="s">
        <v>4</v>
      </c>
      <c r="C2" t="s">
        <v>8</v>
      </c>
      <c r="D2" t="s">
        <v>6</v>
      </c>
      <c r="G2" t="s">
        <v>7</v>
      </c>
      <c r="H2" t="s">
        <v>4</v>
      </c>
      <c r="I2" t="s">
        <v>8</v>
      </c>
      <c r="J2" t="s">
        <v>6</v>
      </c>
      <c r="L2" t="s">
        <v>9</v>
      </c>
    </row>
    <row r="3" spans="1:12" x14ac:dyDescent="0.2">
      <c r="A3" t="s">
        <v>10</v>
      </c>
      <c r="B3" s="1">
        <v>6611</v>
      </c>
      <c r="C3" s="2">
        <f>B3/B5</f>
        <v>0.37316550011289229</v>
      </c>
      <c r="D3">
        <f>B5/B3</f>
        <v>2.679776130691272</v>
      </c>
      <c r="G3" t="s">
        <v>10</v>
      </c>
      <c r="H3" s="1">
        <v>17452283</v>
      </c>
      <c r="I3" s="2">
        <f>H3/H5</f>
        <v>0.50580794437153453</v>
      </c>
      <c r="J3">
        <f>H3/H5</f>
        <v>0.50580794437153453</v>
      </c>
      <c r="K3" t="s">
        <v>10</v>
      </c>
      <c r="L3">
        <f>D3*J3</f>
        <v>1.3554520560408569</v>
      </c>
    </row>
    <row r="4" spans="1:12" x14ac:dyDescent="0.2">
      <c r="A4" t="s">
        <v>11</v>
      </c>
      <c r="B4" s="1">
        <v>11105</v>
      </c>
      <c r="C4" s="2">
        <f>B4/B5</f>
        <v>0.62683449988710771</v>
      </c>
      <c r="D4">
        <f>B5/B4</f>
        <v>1.5953174245835209</v>
      </c>
      <c r="G4" t="s">
        <v>11</v>
      </c>
      <c r="H4" s="1">
        <v>17051491</v>
      </c>
      <c r="I4" s="2">
        <f>H4/H5</f>
        <v>0.49419205562846547</v>
      </c>
      <c r="J4">
        <f>H4/H5</f>
        <v>0.49419205562846547</v>
      </c>
      <c r="K4" t="s">
        <v>11</v>
      </c>
      <c r="L4">
        <f>D4*J4</f>
        <v>0.7883931974348396</v>
      </c>
    </row>
    <row r="5" spans="1:12" x14ac:dyDescent="0.2">
      <c r="A5" t="s">
        <v>12</v>
      </c>
      <c r="B5" s="1">
        <v>17716</v>
      </c>
      <c r="G5" t="s">
        <v>12</v>
      </c>
      <c r="H5" s="1">
        <v>34503774</v>
      </c>
    </row>
    <row r="7" spans="1:12" x14ac:dyDescent="0.2">
      <c r="L7" s="8"/>
    </row>
    <row r="8" spans="1:12" x14ac:dyDescent="0.2">
      <c r="A8" s="12" t="s">
        <v>13</v>
      </c>
      <c r="B8" s="11" t="s">
        <v>3</v>
      </c>
      <c r="C8" s="11"/>
      <c r="D8" s="11" t="s">
        <v>14</v>
      </c>
      <c r="E8" s="11"/>
    </row>
    <row r="9" spans="1:12" x14ac:dyDescent="0.2">
      <c r="A9" s="12"/>
      <c r="B9" s="3" t="s">
        <v>10</v>
      </c>
      <c r="C9" s="3" t="s">
        <v>11</v>
      </c>
      <c r="D9" s="3" t="s">
        <v>35</v>
      </c>
      <c r="E9" s="3" t="s">
        <v>36</v>
      </c>
    </row>
    <row r="10" spans="1:12" x14ac:dyDescent="0.2">
      <c r="A10" s="3" t="s">
        <v>17</v>
      </c>
      <c r="B10" s="4">
        <v>1023</v>
      </c>
      <c r="C10" s="3">
        <v>296</v>
      </c>
      <c r="D10" s="4">
        <v>1319</v>
      </c>
      <c r="E10" s="10">
        <v>1606.731</v>
      </c>
      <c r="F10" s="9"/>
    </row>
    <row r="11" spans="1:12" x14ac:dyDescent="0.2">
      <c r="A11" s="3"/>
      <c r="B11" s="7">
        <f>B10/B16</f>
        <v>0.3724062613760466</v>
      </c>
      <c r="C11" s="7">
        <f t="shared" ref="C11:D11" si="0">C10/C16</f>
        <v>6.8234209313047481E-2</v>
      </c>
      <c r="D11" s="7">
        <f t="shared" si="0"/>
        <v>0.1861679604798871</v>
      </c>
      <c r="E11" s="7">
        <f>E10/E16</f>
        <v>0.22677925194071982</v>
      </c>
      <c r="F11" s="9"/>
    </row>
    <row r="12" spans="1:12" x14ac:dyDescent="0.2">
      <c r="A12" s="3" t="s">
        <v>18</v>
      </c>
      <c r="B12" s="3">
        <v>230</v>
      </c>
      <c r="C12" s="4">
        <v>1171</v>
      </c>
      <c r="D12" s="4">
        <v>1401</v>
      </c>
      <c r="E12" s="10">
        <v>1224.8530000000001</v>
      </c>
      <c r="F12" s="9"/>
    </row>
    <row r="13" spans="1:12" x14ac:dyDescent="0.2">
      <c r="A13" s="3"/>
      <c r="B13" s="7">
        <f>B12/B16</f>
        <v>8.3727702948671281E-2</v>
      </c>
      <c r="C13" s="7">
        <f t="shared" ref="C13:E13" si="1">C12/C16</f>
        <v>0.26994006454587366</v>
      </c>
      <c r="D13" s="7">
        <f t="shared" si="1"/>
        <v>0.19774170783345096</v>
      </c>
      <c r="E13" s="7">
        <f t="shared" si="1"/>
        <v>0.17287974594213126</v>
      </c>
      <c r="F13" s="1"/>
    </row>
    <row r="14" spans="1:12" x14ac:dyDescent="0.2">
      <c r="A14" s="3" t="s">
        <v>19</v>
      </c>
      <c r="B14" s="4">
        <v>1494</v>
      </c>
      <c r="C14" s="4">
        <v>2871</v>
      </c>
      <c r="D14" s="4">
        <v>4365</v>
      </c>
      <c r="E14" s="10">
        <v>4253.4164000000001</v>
      </c>
    </row>
    <row r="15" spans="1:12" x14ac:dyDescent="0.2">
      <c r="A15" s="3"/>
      <c r="B15" s="7">
        <f>B14/B16</f>
        <v>0.54386603567528213</v>
      </c>
      <c r="C15" s="7">
        <f t="shared" ref="C15:E15" si="2">C14/C16</f>
        <v>0.66182572614107882</v>
      </c>
      <c r="D15" s="7">
        <f t="shared" si="2"/>
        <v>0.61609033168666194</v>
      </c>
      <c r="E15" s="7">
        <f t="shared" si="2"/>
        <v>0.60034105857445308</v>
      </c>
    </row>
    <row r="16" spans="1:12" x14ac:dyDescent="0.2">
      <c r="A16" s="3" t="s">
        <v>12</v>
      </c>
      <c r="B16" s="4">
        <v>2747</v>
      </c>
      <c r="C16" s="4">
        <v>4338</v>
      </c>
      <c r="D16" s="4">
        <v>7085</v>
      </c>
      <c r="E16" s="4">
        <v>7085</v>
      </c>
    </row>
    <row r="18" spans="1:8" x14ac:dyDescent="0.2">
      <c r="A18" s="3" t="s">
        <v>13</v>
      </c>
      <c r="B18" s="3" t="s">
        <v>10</v>
      </c>
      <c r="C18" s="3" t="s">
        <v>11</v>
      </c>
      <c r="D18" s="3" t="s">
        <v>15</v>
      </c>
      <c r="E18" s="3" t="s">
        <v>16</v>
      </c>
    </row>
    <row r="19" spans="1:8" x14ac:dyDescent="0.2">
      <c r="A19" s="3" t="s">
        <v>20</v>
      </c>
      <c r="B19" s="7">
        <v>0.3724062613760466</v>
      </c>
      <c r="C19" s="7">
        <v>6.8234209313047481E-2</v>
      </c>
      <c r="D19" s="7">
        <v>0.1861679604798871</v>
      </c>
      <c r="E19" s="7">
        <v>0.22677925194071982</v>
      </c>
    </row>
    <row r="20" spans="1:8" x14ac:dyDescent="0.2">
      <c r="A20" s="3" t="s">
        <v>21</v>
      </c>
      <c r="B20" s="7">
        <v>8.3727702948671281E-2</v>
      </c>
      <c r="C20" s="7">
        <v>0.26994006454587366</v>
      </c>
      <c r="D20" s="7">
        <v>0.19774170783345096</v>
      </c>
      <c r="E20" s="7">
        <v>0.17287974594213126</v>
      </c>
    </row>
    <row r="21" spans="1:8" x14ac:dyDescent="0.2">
      <c r="A21" s="3" t="s">
        <v>22</v>
      </c>
      <c r="B21" s="7">
        <v>0.54386603567528213</v>
      </c>
      <c r="C21" s="7">
        <v>0.66182572614107882</v>
      </c>
      <c r="D21" s="7">
        <v>0.61609033168666194</v>
      </c>
      <c r="E21" s="7">
        <v>0.60034105857445308</v>
      </c>
    </row>
    <row r="24" spans="1:8" x14ac:dyDescent="0.2">
      <c r="A24" s="12" t="s">
        <v>23</v>
      </c>
      <c r="B24" s="11" t="s">
        <v>3</v>
      </c>
      <c r="C24" s="11"/>
      <c r="D24" s="11" t="s">
        <v>37</v>
      </c>
      <c r="E24" s="11"/>
    </row>
    <row r="25" spans="1:8" x14ac:dyDescent="0.2">
      <c r="A25" s="12"/>
      <c r="B25" s="3" t="s">
        <v>10</v>
      </c>
      <c r="C25" s="3" t="s">
        <v>11</v>
      </c>
      <c r="D25" s="3" t="s">
        <v>15</v>
      </c>
      <c r="E25" s="3" t="s">
        <v>16</v>
      </c>
    </row>
    <row r="26" spans="1:8" x14ac:dyDescent="0.2">
      <c r="A26" s="3" t="s">
        <v>17</v>
      </c>
      <c r="B26" s="4">
        <v>265</v>
      </c>
      <c r="C26" s="3">
        <v>98</v>
      </c>
      <c r="D26" s="4">
        <v>363</v>
      </c>
      <c r="E26" s="3">
        <v>438.66636</v>
      </c>
      <c r="F26" s="9"/>
      <c r="H26" s="1"/>
    </row>
    <row r="27" spans="1:8" x14ac:dyDescent="0.2">
      <c r="A27" s="3"/>
      <c r="B27" s="7">
        <f>B26/B38</f>
        <v>7.5219982969060462E-2</v>
      </c>
      <c r="C27" s="7">
        <f>C26/C38</f>
        <v>1.594014313597918E-2</v>
      </c>
      <c r="D27" s="7">
        <f>D26/D38</f>
        <v>3.7534898149105572E-2</v>
      </c>
      <c r="E27" s="7">
        <f t="shared" ref="E27" si="3">E26/E38</f>
        <v>4.5358945300382585E-2</v>
      </c>
      <c r="F27" s="9"/>
      <c r="G27" s="1"/>
      <c r="H27" s="1"/>
    </row>
    <row r="28" spans="1:8" x14ac:dyDescent="0.2">
      <c r="A28" s="3" t="s">
        <v>18</v>
      </c>
      <c r="B28" s="3">
        <v>85</v>
      </c>
      <c r="C28" s="4">
        <v>578</v>
      </c>
      <c r="D28" s="4">
        <v>663</v>
      </c>
      <c r="E28" s="3">
        <v>573.79418999999996</v>
      </c>
      <c r="F28" s="9"/>
      <c r="G28" s="1"/>
      <c r="H28" s="1"/>
    </row>
    <row r="29" spans="1:8" x14ac:dyDescent="0.2">
      <c r="A29" s="3"/>
      <c r="B29" s="7">
        <f>B28/B38</f>
        <v>2.4127164348566564E-2</v>
      </c>
      <c r="C29" s="7">
        <f t="shared" ref="C29:E29" si="4">C28/C38</f>
        <v>9.4014313597918023E-2</v>
      </c>
      <c r="D29" s="7">
        <f t="shared" si="4"/>
        <v>6.8555475131837448E-2</v>
      </c>
      <c r="E29" s="7">
        <f t="shared" si="4"/>
        <v>5.9331422810464267E-2</v>
      </c>
      <c r="F29" s="9"/>
      <c r="G29" s="1"/>
      <c r="H29" s="1"/>
    </row>
    <row r="30" spans="1:8" x14ac:dyDescent="0.2">
      <c r="A30" s="3" t="s">
        <v>19</v>
      </c>
      <c r="B30" s="4">
        <v>551</v>
      </c>
      <c r="C30" s="4">
        <v>1285</v>
      </c>
      <c r="D30" s="4">
        <v>1836</v>
      </c>
      <c r="E30" s="10">
        <v>1768.847</v>
      </c>
    </row>
    <row r="31" spans="1:8" x14ac:dyDescent="0.2">
      <c r="A31" s="3"/>
      <c r="B31" s="7">
        <f>B30/B38</f>
        <v>0.15640079477717855</v>
      </c>
      <c r="C31" s="7">
        <f t="shared" ref="C31:E31" si="5">C30/C38</f>
        <v>0.20901106050748211</v>
      </c>
      <c r="D31" s="7">
        <f t="shared" si="5"/>
        <v>0.18984593113431911</v>
      </c>
      <c r="E31" s="7">
        <f t="shared" si="5"/>
        <v>0.18290218178058112</v>
      </c>
    </row>
    <row r="32" spans="1:8" x14ac:dyDescent="0.2">
      <c r="A32" s="3" t="s">
        <v>24</v>
      </c>
      <c r="B32" s="4">
        <v>2583</v>
      </c>
      <c r="C32" s="4">
        <v>4117</v>
      </c>
      <c r="D32" s="4">
        <v>6700</v>
      </c>
      <c r="E32" s="10">
        <v>6781.0959999999995</v>
      </c>
      <c r="F32" s="1"/>
      <c r="G32" s="1"/>
      <c r="H32" s="1"/>
    </row>
    <row r="33" spans="1:5" x14ac:dyDescent="0.2">
      <c r="A33" s="3"/>
      <c r="B33" s="7">
        <f>B32/B38</f>
        <v>0.73318194720408747</v>
      </c>
      <c r="C33" s="7">
        <f t="shared" ref="C33:E33" si="6">C32/C38</f>
        <v>0.6696486662329213</v>
      </c>
      <c r="D33" s="7">
        <f t="shared" si="6"/>
        <v>0.69279288594767863</v>
      </c>
      <c r="E33" s="7">
        <f t="shared" si="6"/>
        <v>0.70117836831765068</v>
      </c>
    </row>
    <row r="34" spans="1:5" x14ac:dyDescent="0.2">
      <c r="A34" s="3" t="s">
        <v>25</v>
      </c>
      <c r="B34" s="3">
        <v>23</v>
      </c>
      <c r="C34" s="3">
        <v>31</v>
      </c>
      <c r="D34" s="3">
        <v>54</v>
      </c>
      <c r="E34" s="3">
        <v>55.897072000000001</v>
      </c>
    </row>
    <row r="35" spans="1:5" x14ac:dyDescent="0.2">
      <c r="A35" s="3"/>
      <c r="B35" s="7">
        <f>B34/B38</f>
        <v>6.528526823729776E-3</v>
      </c>
      <c r="C35" s="7">
        <f t="shared" ref="C35:E35" si="7">C34/C38</f>
        <v>5.0422901756668834E-3</v>
      </c>
      <c r="D35" s="7">
        <f t="shared" si="7"/>
        <v>5.5837038568917379E-3</v>
      </c>
      <c r="E35" s="7">
        <f t="shared" si="7"/>
        <v>5.7798647502843555E-3</v>
      </c>
    </row>
    <row r="36" spans="1:5" x14ac:dyDescent="0.2">
      <c r="A36" s="3" t="s">
        <v>26</v>
      </c>
      <c r="B36" s="3">
        <v>16</v>
      </c>
      <c r="C36" s="3">
        <v>39</v>
      </c>
      <c r="D36" s="3">
        <v>55</v>
      </c>
      <c r="E36" s="3">
        <v>52.699953000000001</v>
      </c>
    </row>
    <row r="37" spans="1:5" x14ac:dyDescent="0.2">
      <c r="A37" s="3"/>
      <c r="B37" s="7">
        <f>B36/B38</f>
        <v>4.5415838773772352E-3</v>
      </c>
      <c r="C37" s="7">
        <f t="shared" ref="C37:E37" si="8">C36/C38</f>
        <v>6.3435263500325311E-3</v>
      </c>
      <c r="D37" s="7">
        <f t="shared" si="8"/>
        <v>5.6871057801675109E-3</v>
      </c>
      <c r="E37" s="7">
        <f t="shared" si="8"/>
        <v>5.4492764967428399E-3</v>
      </c>
    </row>
    <row r="38" spans="1:5" x14ac:dyDescent="0.2">
      <c r="A38" s="3" t="s">
        <v>12</v>
      </c>
      <c r="B38" s="4">
        <v>3523</v>
      </c>
      <c r="C38" s="4">
        <v>6148</v>
      </c>
      <c r="D38" s="4">
        <v>9671</v>
      </c>
      <c r="E38" s="4">
        <v>9671</v>
      </c>
    </row>
    <row r="40" spans="1:5" x14ac:dyDescent="0.2">
      <c r="A40" s="6" t="s">
        <v>23</v>
      </c>
      <c r="B40" s="3" t="s">
        <v>10</v>
      </c>
      <c r="C40" s="3" t="s">
        <v>11</v>
      </c>
      <c r="D40" s="3" t="s">
        <v>15</v>
      </c>
      <c r="E40" s="3" t="s">
        <v>16</v>
      </c>
    </row>
    <row r="41" spans="1:5" x14ac:dyDescent="0.2">
      <c r="A41" s="3" t="s">
        <v>20</v>
      </c>
      <c r="B41" s="7">
        <v>7.5219982969060462E-2</v>
      </c>
      <c r="C41" s="7">
        <v>1.594014313597918E-2</v>
      </c>
      <c r="D41" s="7">
        <v>3.7534898149105572E-2</v>
      </c>
      <c r="E41" s="7">
        <v>4.5358945300382585E-2</v>
      </c>
    </row>
    <row r="42" spans="1:5" x14ac:dyDescent="0.2">
      <c r="A42" s="3" t="s">
        <v>21</v>
      </c>
      <c r="B42" s="7">
        <v>2.4127164348566564E-2</v>
      </c>
      <c r="C42" s="7">
        <v>9.4014313597918023E-2</v>
      </c>
      <c r="D42" s="7">
        <v>6.8555475131837448E-2</v>
      </c>
      <c r="E42" s="7">
        <v>5.9331422810464267E-2</v>
      </c>
    </row>
    <row r="43" spans="1:5" x14ac:dyDescent="0.2">
      <c r="A43" s="3" t="s">
        <v>22</v>
      </c>
      <c r="B43" s="7">
        <v>0.15640079477717855</v>
      </c>
      <c r="C43" s="7">
        <v>0.20901106050748211</v>
      </c>
      <c r="D43" s="7">
        <v>0.18984593113431911</v>
      </c>
      <c r="E43" s="7">
        <v>0.18290218178058112</v>
      </c>
    </row>
    <row r="44" spans="1:5" x14ac:dyDescent="0.2">
      <c r="A44" s="3" t="s">
        <v>27</v>
      </c>
      <c r="B44" s="7">
        <v>0.73318194720408747</v>
      </c>
      <c r="C44" s="7">
        <v>0.6696486662329213</v>
      </c>
      <c r="D44" s="7">
        <v>0.69279288594767863</v>
      </c>
      <c r="E44" s="7">
        <v>0.70117836831765068</v>
      </c>
    </row>
    <row r="45" spans="1:5" x14ac:dyDescent="0.2">
      <c r="A45" s="3" t="s">
        <v>25</v>
      </c>
      <c r="B45" s="7">
        <v>6.528526823729776E-3</v>
      </c>
      <c r="C45" s="7">
        <v>5.0422901756668834E-3</v>
      </c>
      <c r="D45" s="7">
        <v>5.5837038568917379E-3</v>
      </c>
      <c r="E45" s="7">
        <v>5.7798647502843555E-3</v>
      </c>
    </row>
    <row r="46" spans="1:5" x14ac:dyDescent="0.2">
      <c r="A46" s="3" t="s">
        <v>26</v>
      </c>
      <c r="B46" s="7">
        <v>4.5415838773772352E-3</v>
      </c>
      <c r="C46" s="7">
        <v>6.3435263500325311E-3</v>
      </c>
      <c r="D46" s="7">
        <v>5.6871057801675109E-3</v>
      </c>
      <c r="E46" s="7">
        <v>5.4492764967428399E-3</v>
      </c>
    </row>
    <row r="48" spans="1:5" x14ac:dyDescent="0.2">
      <c r="A48" s="12" t="s">
        <v>28</v>
      </c>
      <c r="B48" s="11" t="s">
        <v>3</v>
      </c>
      <c r="C48" s="11"/>
      <c r="D48" s="11" t="s">
        <v>37</v>
      </c>
      <c r="E48" s="11"/>
    </row>
    <row r="49" spans="1:5" x14ac:dyDescent="0.2">
      <c r="A49" s="12"/>
      <c r="B49" s="3" t="s">
        <v>10</v>
      </c>
      <c r="C49" s="3" t="s">
        <v>11</v>
      </c>
      <c r="D49" s="3" t="s">
        <v>15</v>
      </c>
      <c r="E49" s="3" t="s">
        <v>16</v>
      </c>
    </row>
    <row r="50" spans="1:5" x14ac:dyDescent="0.2">
      <c r="A50" s="3" t="s">
        <v>17</v>
      </c>
      <c r="B50" s="4">
        <v>404</v>
      </c>
      <c r="C50" s="3">
        <v>143</v>
      </c>
      <c r="D50" s="4">
        <v>547</v>
      </c>
      <c r="E50" s="10">
        <v>658.93052</v>
      </c>
    </row>
    <row r="51" spans="1:5" x14ac:dyDescent="0.2">
      <c r="A51" s="3"/>
      <c r="B51" s="7">
        <f>B50/B62</f>
        <v>0.14760686883449031</v>
      </c>
      <c r="C51" s="7">
        <f t="shared" ref="C51:E51" si="9">C50/C62</f>
        <v>3.1609195402298854E-2</v>
      </c>
      <c r="D51" s="7">
        <f t="shared" si="9"/>
        <v>7.5333976036358621E-2</v>
      </c>
      <c r="E51" s="7">
        <f t="shared" si="9"/>
        <v>9.0749279713538078E-2</v>
      </c>
    </row>
    <row r="52" spans="1:5" x14ac:dyDescent="0.2">
      <c r="A52" s="3" t="s">
        <v>18</v>
      </c>
      <c r="B52" s="3">
        <v>109</v>
      </c>
      <c r="C52" s="4">
        <v>715</v>
      </c>
      <c r="D52" s="4">
        <v>824</v>
      </c>
      <c r="E52" s="10">
        <v>709.92376999999999</v>
      </c>
    </row>
    <row r="53" spans="1:5" x14ac:dyDescent="0.2">
      <c r="A53" s="3"/>
      <c r="B53" s="7">
        <f>B52/B62</f>
        <v>3.9824625502374866E-2</v>
      </c>
      <c r="C53" s="7">
        <f t="shared" ref="C53:E53" si="10">C52/C62</f>
        <v>0.15804597701149425</v>
      </c>
      <c r="D53" s="7">
        <f t="shared" si="10"/>
        <v>0.11348299132350916</v>
      </c>
      <c r="E53" s="7">
        <f t="shared" si="10"/>
        <v>9.7772176008814216E-2</v>
      </c>
    </row>
    <row r="54" spans="1:5" x14ac:dyDescent="0.2">
      <c r="A54" s="3" t="s">
        <v>19</v>
      </c>
      <c r="B54" s="4">
        <v>370</v>
      </c>
      <c r="C54" s="4">
        <v>857</v>
      </c>
      <c r="D54" s="4">
        <v>1227</v>
      </c>
      <c r="E54" s="10">
        <v>1174.6524999999999</v>
      </c>
    </row>
    <row r="55" spans="1:5" x14ac:dyDescent="0.2">
      <c r="A55" s="3"/>
      <c r="B55" s="7">
        <f>B54/B62</f>
        <v>0.13518450858604311</v>
      </c>
      <c r="C55" s="7">
        <f t="shared" ref="C55:E55" si="11">C54/C62</f>
        <v>0.18943412908930149</v>
      </c>
      <c r="D55" s="7">
        <f t="shared" si="11"/>
        <v>0.16898498829362346</v>
      </c>
      <c r="E55" s="7">
        <f t="shared" si="11"/>
        <v>0.16177558187577468</v>
      </c>
    </row>
    <row r="56" spans="1:5" x14ac:dyDescent="0.2">
      <c r="A56" s="3" t="s">
        <v>24</v>
      </c>
      <c r="B56" s="4">
        <v>1809</v>
      </c>
      <c r="C56" s="4">
        <v>2737</v>
      </c>
      <c r="D56" s="4">
        <v>4546</v>
      </c>
      <c r="E56" s="10">
        <v>4599.9849999999997</v>
      </c>
    </row>
    <row r="57" spans="1:5" x14ac:dyDescent="0.2">
      <c r="A57" s="3"/>
      <c r="B57" s="7">
        <f>B56/B62</f>
        <v>0.66094263792473507</v>
      </c>
      <c r="C57" s="7">
        <f t="shared" ref="C57:E57" si="12">C56/C62</f>
        <v>0.60499557913351021</v>
      </c>
      <c r="D57" s="7">
        <f t="shared" si="12"/>
        <v>0.6260845613551852</v>
      </c>
      <c r="E57" s="7">
        <f t="shared" si="12"/>
        <v>0.63351948767387412</v>
      </c>
    </row>
    <row r="58" spans="1:5" x14ac:dyDescent="0.2">
      <c r="A58" s="3" t="s">
        <v>25</v>
      </c>
      <c r="B58" s="3">
        <v>22</v>
      </c>
      <c r="C58" s="3">
        <v>35</v>
      </c>
      <c r="D58" s="4">
        <v>57</v>
      </c>
      <c r="E58" s="10">
        <v>57.290911000000001</v>
      </c>
    </row>
    <row r="59" spans="1:5" x14ac:dyDescent="0.2">
      <c r="A59" s="3"/>
      <c r="B59" s="7">
        <f>B58/B62</f>
        <v>8.0379978078187805E-3</v>
      </c>
      <c r="C59" s="7">
        <f t="shared" ref="C59:E59" si="13">C58/C62</f>
        <v>7.7365163572060127E-3</v>
      </c>
      <c r="D59" s="7">
        <f t="shared" si="13"/>
        <v>7.8501583803883765E-3</v>
      </c>
      <c r="E59" s="7">
        <f t="shared" si="13"/>
        <v>7.8902232474865729E-3</v>
      </c>
    </row>
    <row r="60" spans="1:5" x14ac:dyDescent="0.2">
      <c r="A60" s="3" t="s">
        <v>26</v>
      </c>
      <c r="B60" s="3">
        <v>23</v>
      </c>
      <c r="C60" s="3">
        <v>37</v>
      </c>
      <c r="D60" s="4">
        <v>60</v>
      </c>
      <c r="E60" s="10">
        <v>60.216878000000001</v>
      </c>
    </row>
    <row r="61" spans="1:5" x14ac:dyDescent="0.2">
      <c r="A61" s="3"/>
      <c r="B61" s="7">
        <f>B60/B62</f>
        <v>8.4033613445378148E-3</v>
      </c>
      <c r="C61" s="7">
        <f t="shared" ref="C61:E61" si="14">C60/C62</f>
        <v>8.1786030061892136E-3</v>
      </c>
      <c r="D61" s="7">
        <f t="shared" si="14"/>
        <v>8.2633246109351331E-3</v>
      </c>
      <c r="E61" s="7">
        <f t="shared" si="14"/>
        <v>8.2931934995179729E-3</v>
      </c>
    </row>
    <row r="62" spans="1:5" x14ac:dyDescent="0.2">
      <c r="A62" s="3" t="s">
        <v>12</v>
      </c>
      <c r="B62" s="4">
        <v>2737</v>
      </c>
      <c r="C62" s="4">
        <v>4524</v>
      </c>
      <c r="D62" s="4">
        <v>7261</v>
      </c>
      <c r="E62" s="4">
        <v>7261</v>
      </c>
    </row>
    <row r="64" spans="1:5" x14ac:dyDescent="0.2">
      <c r="A64" s="6" t="s">
        <v>23</v>
      </c>
      <c r="B64" s="3" t="s">
        <v>10</v>
      </c>
      <c r="C64" s="3" t="s">
        <v>11</v>
      </c>
      <c r="D64" s="3" t="s">
        <v>15</v>
      </c>
      <c r="E64" s="3" t="s">
        <v>16</v>
      </c>
    </row>
    <row r="65" spans="1:5" x14ac:dyDescent="0.2">
      <c r="A65" s="3" t="s">
        <v>20</v>
      </c>
      <c r="B65" s="7">
        <v>0.14760686883449031</v>
      </c>
      <c r="C65" s="7">
        <v>3.1609195402298854E-2</v>
      </c>
      <c r="D65" s="7">
        <v>7.5333976036358621E-2</v>
      </c>
      <c r="E65" s="7">
        <v>9.0749279713538078E-2</v>
      </c>
    </row>
    <row r="66" spans="1:5" x14ac:dyDescent="0.2">
      <c r="A66" s="3" t="s">
        <v>21</v>
      </c>
      <c r="B66" s="7">
        <v>3.9824625502374866E-2</v>
      </c>
      <c r="C66" s="7">
        <v>0.15804597701149425</v>
      </c>
      <c r="D66" s="7">
        <v>0.11348299132350916</v>
      </c>
      <c r="E66" s="7">
        <v>9.7772176008814216E-2</v>
      </c>
    </row>
    <row r="67" spans="1:5" x14ac:dyDescent="0.2">
      <c r="A67" s="3" t="s">
        <v>22</v>
      </c>
      <c r="B67" s="7">
        <v>0.13518450858604311</v>
      </c>
      <c r="C67" s="7">
        <v>0.18943412908930149</v>
      </c>
      <c r="D67" s="7">
        <v>0.16898498829362346</v>
      </c>
      <c r="E67" s="7">
        <v>0.16177558187577468</v>
      </c>
    </row>
    <row r="68" spans="1:5" x14ac:dyDescent="0.2">
      <c r="A68" s="3" t="s">
        <v>27</v>
      </c>
      <c r="B68" s="7">
        <v>0.66094263792473507</v>
      </c>
      <c r="C68" s="7">
        <v>0.60499557913351021</v>
      </c>
      <c r="D68" s="7">
        <v>0.6260845613551852</v>
      </c>
      <c r="E68" s="7">
        <v>0.63351948767387412</v>
      </c>
    </row>
    <row r="69" spans="1:5" x14ac:dyDescent="0.2">
      <c r="A69" s="3" t="s">
        <v>25</v>
      </c>
      <c r="B69" s="7">
        <v>8.0379978078187805E-3</v>
      </c>
      <c r="C69" s="7">
        <v>7.7365163572060127E-3</v>
      </c>
      <c r="D69" s="7">
        <v>7.8501583803883765E-3</v>
      </c>
      <c r="E69" s="7">
        <v>7.8902232474865729E-3</v>
      </c>
    </row>
    <row r="70" spans="1:5" x14ac:dyDescent="0.2">
      <c r="A70" s="3" t="s">
        <v>26</v>
      </c>
      <c r="B70" s="7">
        <v>8.4033613445378148E-3</v>
      </c>
      <c r="C70" s="7">
        <v>8.1786030061892136E-3</v>
      </c>
      <c r="D70" s="7">
        <v>8.2633246109351331E-3</v>
      </c>
      <c r="E70" s="7">
        <v>8.2931934995179729E-3</v>
      </c>
    </row>
  </sheetData>
  <mergeCells count="11">
    <mergeCell ref="A48:A49"/>
    <mergeCell ref="B48:C48"/>
    <mergeCell ref="D48:E48"/>
    <mergeCell ref="A1:E1"/>
    <mergeCell ref="G1:K1"/>
    <mergeCell ref="A8:A9"/>
    <mergeCell ref="B8:C8"/>
    <mergeCell ref="D8:E8"/>
    <mergeCell ref="A24:A25"/>
    <mergeCell ref="B24:C24"/>
    <mergeCell ref="D24:E2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B70A0082-D904-482C-92DE-D2D282770FD3}"/>
</file>

<file path=customXml/itemProps2.xml><?xml version="1.0" encoding="utf-8"?>
<ds:datastoreItem xmlns:ds="http://schemas.openxmlformats.org/officeDocument/2006/customXml" ds:itemID="{7EBA9583-781C-46A3-92B3-6B1D344BD7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75569-BADB-43B1-ABB0-7E7C572119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Somalia</vt:lpstr>
      <vt:lpstr>Sheet1</vt:lpstr>
      <vt:lpstr>Zimbabwe</vt:lpstr>
      <vt:lpstr>Malawi</vt:lpstr>
      <vt:lpstr>Angola</vt:lpstr>
    </vt:vector>
  </TitlesOfParts>
  <Manager/>
  <Company>World Food Programme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GHAITH Ahmad</dc:creator>
  <cp:keywords/>
  <dc:description/>
  <cp:lastModifiedBy>Nicole Wu</cp:lastModifiedBy>
  <cp:revision/>
  <dcterms:created xsi:type="dcterms:W3CDTF">2023-03-27T08:15:04Z</dcterms:created>
  <dcterms:modified xsi:type="dcterms:W3CDTF">2023-06-22T14:50:01Z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