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1_TOR_SoW/Budget/"/>
    </mc:Choice>
  </mc:AlternateContent>
  <xr:revisionPtr revIDLastSave="164" documentId="8_{9F740C5E-DED8-4941-A143-1727E05BD8C4}" xr6:coauthVersionLast="47" xr6:coauthVersionMax="47" xr10:uidLastSave="{76AE3A52-AC58-4FFB-BA36-3E0E06F301E4}"/>
  <bookViews>
    <workbookView xWindow="-120" yWindow="-120" windowWidth="29040" windowHeight="15840" tabRatio="601" activeTab="1" xr2:uid="{BBB588FB-9F36-4EE5-A217-048BFEA14569}"/>
  </bookViews>
  <sheets>
    <sheet name="Budget of F2F" sheetId="4" r:id="rId1"/>
    <sheet name="Budget of remote" sheetId="5" r:id="rId2"/>
    <sheet name="Planning rCARI 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4" l="1"/>
  <c r="F4" i="5"/>
  <c r="F5" i="5"/>
  <c r="F6" i="5"/>
  <c r="F3" i="5"/>
  <c r="E10" i="5"/>
  <c r="E11" i="4"/>
  <c r="F11" i="4" s="1"/>
  <c r="E14" i="4"/>
  <c r="F14" i="4" s="1"/>
  <c r="E15" i="4"/>
  <c r="F15" i="4" s="1"/>
  <c r="E16" i="4"/>
  <c r="F16" i="4" s="1"/>
  <c r="E7" i="5"/>
  <c r="F7" i="5" s="1"/>
  <c r="E3" i="5"/>
  <c r="E20" i="4"/>
  <c r="F20" i="4" s="1"/>
  <c r="E3" i="4"/>
  <c r="F3" i="4" s="1"/>
  <c r="E4" i="4"/>
  <c r="F4" i="4" s="1"/>
  <c r="E9" i="5"/>
  <c r="E4" i="5"/>
  <c r="B6" i="5"/>
  <c r="B5" i="5"/>
  <c r="B5" i="4"/>
  <c r="E5" i="4" s="1"/>
  <c r="F5" i="4" s="1"/>
  <c r="B19" i="4"/>
  <c r="B13" i="4"/>
  <c r="E13" i="4" s="1"/>
  <c r="F13" i="4" s="1"/>
  <c r="B12" i="4"/>
  <c r="E12" i="4" s="1"/>
  <c r="F12" i="4" s="1"/>
  <c r="B9" i="4"/>
  <c r="E11" i="5" l="1"/>
  <c r="F11" i="5" s="1"/>
  <c r="F10" i="5"/>
  <c r="E6" i="4"/>
  <c r="F6" i="4"/>
  <c r="E9" i="4"/>
  <c r="F9" i="4" s="1"/>
  <c r="B21" i="4"/>
  <c r="E21" i="4" s="1"/>
  <c r="F21" i="4" s="1"/>
  <c r="E19" i="4"/>
  <c r="F19" i="4" s="1"/>
  <c r="E5" i="5"/>
  <c r="E6" i="5"/>
  <c r="B10" i="4"/>
  <c r="E10" i="4" s="1"/>
  <c r="F10" i="4" s="1"/>
  <c r="E8" i="4"/>
  <c r="F8" i="4" s="1"/>
  <c r="E22" i="4" l="1"/>
  <c r="F22" i="4" s="1"/>
  <c r="E8" i="5"/>
  <c r="F8" i="5" s="1"/>
  <c r="E17" i="4"/>
  <c r="E24" i="4" l="1"/>
  <c r="F24" i="4" s="1"/>
  <c r="E12" i="5"/>
  <c r="F12" i="5" s="1"/>
  <c r="E23" i="4"/>
  <c r="F23" i="4" s="1"/>
  <c r="F17" i="4"/>
</calcChain>
</file>

<file path=xl/sharedStrings.xml><?xml version="1.0" encoding="utf-8"?>
<sst xmlns="http://schemas.openxmlformats.org/spreadsheetml/2006/main" count="188" uniqueCount="98">
  <si>
    <t xml:space="preserve">Activités </t>
  </si>
  <si>
    <t xml:space="preserve">Quantité </t>
  </si>
  <si>
    <t>Jours/unites</t>
  </si>
  <si>
    <t>PU</t>
  </si>
  <si>
    <t>Montant XOF</t>
  </si>
  <si>
    <t>Amount in USD</t>
  </si>
  <si>
    <t>Commentaires</t>
  </si>
  <si>
    <t>I. Recensement (Listing)</t>
  </si>
  <si>
    <t xml:space="preserve">100 menages per village </t>
  </si>
  <si>
    <t>Perdiems des agents recenseurs pour la collecte des données</t>
  </si>
  <si>
    <t xml:space="preserve">Perdiems de 45 000 par agents pour 10 agents recenseurs pendants 4 jours </t>
  </si>
  <si>
    <t>Perdiems des superviseurs pour la collecte des données</t>
  </si>
  <si>
    <t xml:space="preserve">Perdiems de 50 000 par superviseur pour 2 superviseurs pendants 4 jours </t>
  </si>
  <si>
    <t xml:space="preserve">Frais de location de motos et carburant </t>
  </si>
  <si>
    <t>Forfait de 35 000 pour la location et le carburant des motos des 10 enquêteurs + 2 superviseurs</t>
  </si>
  <si>
    <t>Total recensement</t>
  </si>
  <si>
    <t>II. Collecte Face to Face</t>
  </si>
  <si>
    <t>II.1. Formation technique sur rCARI - not far from Ouga</t>
  </si>
  <si>
    <t xml:space="preserve">Perdiem participants </t>
  </si>
  <si>
    <t>10 enquêteurs et 2 superviseurs pendants 4 jours pour 25 000 par jour</t>
  </si>
  <si>
    <t xml:space="preserve">Frais de transports participants </t>
  </si>
  <si>
    <t>10 enquêteurs et 2 superviseurs forfait de 20000 pour le transport aller-retour</t>
  </si>
  <si>
    <t xml:space="preserve">Pause café </t>
  </si>
  <si>
    <t>20 participants pendant 4 jours de formations (12 enumerators, CO 3/4, RB1, HQ3)</t>
  </si>
  <si>
    <t xml:space="preserve">Pause dejeuner </t>
  </si>
  <si>
    <t>20 participants pendant 4 jours de formations</t>
  </si>
  <si>
    <t>Eau dans la salle</t>
  </si>
  <si>
    <t>3 bidons pour les 12 participants par jour et pendant 5 jours</t>
  </si>
  <si>
    <t>Location de salle</t>
  </si>
  <si>
    <t>Fourniture pour les participants ( blocs notes, stylo, ...)</t>
  </si>
  <si>
    <t>DSA Staff PAM</t>
  </si>
  <si>
    <t>Total Formation</t>
  </si>
  <si>
    <t xml:space="preserve">II.2. Collecte des données en Face à face </t>
  </si>
  <si>
    <t xml:space="preserve">Perdiems de 45 000 par agents pour 10 agents enquêteurs pendants 10 jours </t>
  </si>
  <si>
    <t xml:space="preserve">Perdiems de 50 000 par superviseur pour 2 superviseurs pendants 10 jours </t>
  </si>
  <si>
    <t>Frais de location de motos et carburant (y compris la communication)</t>
  </si>
  <si>
    <t>Total collecte terrain</t>
  </si>
  <si>
    <t>Total collecte F2F</t>
  </si>
  <si>
    <t>5% imprevu just in case?</t>
  </si>
  <si>
    <t>Total recensement + F2F</t>
  </si>
  <si>
    <t>sample</t>
  </si>
  <si>
    <t>enq</t>
  </si>
  <si>
    <t>enq/day</t>
  </si>
  <si>
    <t>jours</t>
  </si>
  <si>
    <t>Montant</t>
  </si>
  <si>
    <t>Formation technique sur rCARI</t>
  </si>
  <si>
    <t>8 enquêteurs et 2 superviseurs transport aller -retour</t>
  </si>
  <si>
    <t>20 participants pendants 2 jours de formations</t>
  </si>
  <si>
    <t>3 bidons pour les 20 participants par jour et pendant 2 jours</t>
  </si>
  <si>
    <t>Fourniture pour les participants ( blocs notes, stylo, etc)</t>
  </si>
  <si>
    <t>Collecte des données en remote - call centre</t>
  </si>
  <si>
    <t xml:space="preserve">Couts de de la collecte pour le call center </t>
  </si>
  <si>
    <t>5 000 par formulaires et 700 formulaire à renseigner</t>
  </si>
  <si>
    <t>Total collecte</t>
  </si>
  <si>
    <t>Total remote</t>
  </si>
  <si>
    <t>Activity</t>
  </si>
  <si>
    <t>Number of days</t>
  </si>
  <si>
    <t>August</t>
  </si>
  <si>
    <t>September</t>
  </si>
  <si>
    <t>Recommended Start date</t>
  </si>
  <si>
    <t>Recommended End date</t>
  </si>
  <si>
    <t>Start date</t>
  </si>
  <si>
    <t>Deadline/ status</t>
  </si>
  <si>
    <t>Responsible</t>
  </si>
  <si>
    <t>Village sampling (Admin 5)</t>
  </si>
  <si>
    <t xml:space="preserve"> - </t>
  </si>
  <si>
    <t> </t>
  </si>
  <si>
    <t>Done</t>
  </si>
  <si>
    <t>CO (KABRE Moumouni)</t>
  </si>
  <si>
    <t>Recruitment of interviewers (TPM)</t>
  </si>
  <si>
    <t>Contextualisation of census questionnaire</t>
  </si>
  <si>
    <t>CO (Moro DABRE, KABRE Moumouni)</t>
  </si>
  <si>
    <t>Briefing of enumerators for household listing</t>
  </si>
  <si>
    <t>CO (KABRE Moumouni, Faroukou GARBA)</t>
  </si>
  <si>
    <t>Data collection for household listing</t>
  </si>
  <si>
    <t>21/8/2023</t>
  </si>
  <si>
    <t>24/8/2023</t>
  </si>
  <si>
    <t>Enquêteurs et superviseurs (TPM)</t>
  </si>
  <si>
    <t xml:space="preserve">Sampling at Household level </t>
  </si>
  <si>
    <t>25/8/2023</t>
  </si>
  <si>
    <t>26/8/2023</t>
  </si>
  <si>
    <t>14/8/2023</t>
  </si>
  <si>
    <t>Alirah</t>
  </si>
  <si>
    <t>Contextualisation of F2F &amp; remote questionnaire</t>
  </si>
  <si>
    <t>Training of staff Call Center</t>
  </si>
  <si>
    <t>28/8/2023</t>
  </si>
  <si>
    <t>15/8/2023</t>
  </si>
  <si>
    <t>16/8/2023</t>
  </si>
  <si>
    <t>Faroukou, Zakaria, Cassandra, Fatou, Alirah and Jonas</t>
  </si>
  <si>
    <t>Training of staff TPM</t>
  </si>
  <si>
    <t>Faroukou, Zakaria, Cassandra, Jonas, Fatou and Alirah</t>
  </si>
  <si>
    <t xml:space="preserve">Field and remote data collect for rCARI </t>
  </si>
  <si>
    <t>30/9/2023</t>
  </si>
  <si>
    <t>Call Center and TPM - Supervised by Farakou &amp; Alirah</t>
  </si>
  <si>
    <t>L'idee, c'est de faire l'echantillionage juste avant les formations</t>
  </si>
  <si>
    <t>Risque de non-reponse si nous faisons la selection des menages bien avant.</t>
  </si>
  <si>
    <t xml:space="preserve">Comme cela, les menages vont se rappeler que le PAM va conduire les enquetes bientot </t>
  </si>
  <si>
    <t xml:space="preserve">visas? lettre officiel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</si>
</sst>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\ _€_-;\-* #,##0\ _€_-;_-* &quot;-&quot;\ _€_-;_-@_-"/>
    <numFmt numFmtId="165" formatCode="_-* #,##0_-;\-* #,##0_-;_-* &quot;-&quot;??_-;_-@_-"/>
    <numFmt numFmtId="166" formatCode="_-[$$-45C]* #,##0_-;\-[$$-45C]* #,##0_-;_-[$$-45C]* &quot;-&quot;_-;_-@_-"/>
    <numFmt numFmtId="167" formatCode="_-[$$-409]* #,##0_ ;_-[$$-409]* \-#,##0\ ;_-[$$-409]* &quot;-&quot;??_ ;_-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C00000"/>
      <name val="Calibri"/>
      <family val="2"/>
      <scheme val="minor"/>
    </font>
    <font>
      <sz val="11"/>
      <color rgb="FFC00000"/>
      <name val="Calibri"/>
      <family val="2"/>
    </font>
    <font>
      <sz val="11"/>
      <color rgb="FFC00000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7">
    <xf numFmtId="0" fontId="0" fillId="0" borderId="0" xfId="0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/>
    <xf numFmtId="165" fontId="2" fillId="2" borderId="1" xfId="1" applyNumberFormat="1" applyFont="1" applyFill="1" applyBorder="1" applyAlignment="1">
      <alignment vertical="center"/>
    </xf>
    <xf numFmtId="165" fontId="1" fillId="3" borderId="1" xfId="1" applyNumberFormat="1" applyFont="1" applyFill="1" applyBorder="1"/>
    <xf numFmtId="165" fontId="0" fillId="0" borderId="0" xfId="1" applyNumberFormat="1" applyFont="1"/>
    <xf numFmtId="0" fontId="0" fillId="0" borderId="0" xfId="0" applyAlignment="1">
      <alignment vertical="center"/>
    </xf>
    <xf numFmtId="165" fontId="0" fillId="0" borderId="1" xfId="1" applyNumberFormat="1" applyFont="1" applyFill="1" applyBorder="1" applyAlignment="1">
      <alignment vertical="center"/>
    </xf>
    <xf numFmtId="0" fontId="0" fillId="0" borderId="1" xfId="0" applyBorder="1" applyAlignment="1">
      <alignment wrapText="1"/>
    </xf>
    <xf numFmtId="165" fontId="1" fillId="5" borderId="1" xfId="1" applyNumberFormat="1" applyFont="1" applyFill="1" applyBorder="1" applyAlignment="1">
      <alignment vertical="center"/>
    </xf>
    <xf numFmtId="164" fontId="1" fillId="5" borderId="1" xfId="0" applyNumberFormat="1" applyFont="1" applyFill="1" applyBorder="1" applyAlignment="1">
      <alignment vertical="center"/>
    </xf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6" borderId="1" xfId="0" applyFont="1" applyFill="1" applyBorder="1" applyAlignment="1">
      <alignment vertical="center" wrapText="1"/>
    </xf>
    <xf numFmtId="165" fontId="6" fillId="6" borderId="1" xfId="1" applyNumberFormat="1" applyFont="1" applyFill="1" applyBorder="1" applyAlignment="1">
      <alignment vertical="center"/>
    </xf>
    <xf numFmtId="0" fontId="0" fillId="6" borderId="1" xfId="0" applyFill="1" applyBorder="1" applyAlignment="1">
      <alignment wrapText="1"/>
    </xf>
    <xf numFmtId="0" fontId="1" fillId="5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1" fillId="7" borderId="1" xfId="0" applyFont="1" applyFill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8" borderId="7" xfId="0" applyFont="1" applyFill="1" applyBorder="1"/>
    <xf numFmtId="0" fontId="3" fillId="0" borderId="6" xfId="0" applyFont="1" applyBorder="1" applyAlignment="1">
      <alignment wrapText="1"/>
    </xf>
    <xf numFmtId="0" fontId="0" fillId="0" borderId="0" xfId="0" applyAlignment="1">
      <alignment horizontal="right"/>
    </xf>
    <xf numFmtId="0" fontId="3" fillId="0" borderId="7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2" fillId="2" borderId="2" xfId="1" applyNumberFormat="1" applyFont="1" applyFill="1" applyBorder="1" applyAlignment="1">
      <alignment horizontal="center" vertical="center"/>
    </xf>
    <xf numFmtId="165" fontId="6" fillId="6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/>
    </xf>
    <xf numFmtId="165" fontId="6" fillId="7" borderId="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/>
    </xf>
    <xf numFmtId="165" fontId="0" fillId="0" borderId="1" xfId="1" applyNumberFormat="1" applyFont="1" applyFill="1" applyBorder="1" applyAlignment="1">
      <alignment horizontal="left" vertical="center"/>
    </xf>
    <xf numFmtId="165" fontId="6" fillId="0" borderId="1" xfId="1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166" fontId="6" fillId="0" borderId="1" xfId="0" applyNumberFormat="1" applyFont="1" applyBorder="1" applyAlignment="1">
      <alignment horizontal="center" vertical="center"/>
    </xf>
    <xf numFmtId="167" fontId="1" fillId="6" borderId="1" xfId="0" applyNumberFormat="1" applyFont="1" applyFill="1" applyBorder="1" applyAlignment="1">
      <alignment wrapText="1"/>
    </xf>
    <xf numFmtId="167" fontId="1" fillId="7" borderId="1" xfId="0" applyNumberFormat="1" applyFont="1" applyFill="1" applyBorder="1" applyAlignment="1">
      <alignment wrapText="1"/>
    </xf>
    <xf numFmtId="167" fontId="1" fillId="3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65" fontId="10" fillId="0" borderId="1" xfId="1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165" fontId="1" fillId="0" borderId="8" xfId="1" applyNumberFormat="1" applyFont="1" applyBorder="1" applyAlignment="1">
      <alignment horizontal="center"/>
    </xf>
    <xf numFmtId="0" fontId="1" fillId="7" borderId="1" xfId="0" applyFont="1" applyFill="1" applyBorder="1" applyAlignment="1">
      <alignment wrapText="1"/>
    </xf>
    <xf numFmtId="0" fontId="0" fillId="9" borderId="1" xfId="0" applyFill="1" applyBorder="1" applyAlignment="1">
      <alignment wrapText="1"/>
    </xf>
    <xf numFmtId="14" fontId="11" fillId="9" borderId="7" xfId="0" applyNumberFormat="1" applyFont="1" applyFill="1" applyBorder="1" applyAlignment="1">
      <alignment horizontal="right"/>
    </xf>
    <xf numFmtId="0" fontId="11" fillId="9" borderId="7" xfId="0" applyFont="1" applyFill="1" applyBorder="1" applyAlignment="1">
      <alignment horizontal="right"/>
    </xf>
    <xf numFmtId="0" fontId="0" fillId="9" borderId="0" xfId="0" applyFill="1"/>
    <xf numFmtId="0" fontId="3" fillId="9" borderId="7" xfId="0" applyFont="1" applyFill="1" applyBorder="1"/>
    <xf numFmtId="0" fontId="12" fillId="9" borderId="7" xfId="0" applyFont="1" applyFill="1" applyBorder="1" applyAlignment="1">
      <alignment horizontal="right"/>
    </xf>
    <xf numFmtId="14" fontId="12" fillId="9" borderId="7" xfId="0" applyNumberFormat="1" applyFont="1" applyFill="1" applyBorder="1" applyAlignment="1">
      <alignment horizontal="right"/>
    </xf>
    <xf numFmtId="0" fontId="0" fillId="4" borderId="0" xfId="0" applyFill="1"/>
    <xf numFmtId="0" fontId="3" fillId="9" borderId="6" xfId="0" applyFont="1" applyFill="1" applyBorder="1"/>
    <xf numFmtId="0" fontId="2" fillId="8" borderId="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2" fillId="8" borderId="2" xfId="0" applyFont="1" applyFill="1" applyBorder="1" applyAlignment="1"/>
    <xf numFmtId="0" fontId="2" fillId="8" borderId="6" xfId="0" applyFont="1" applyFill="1" applyBorder="1" applyAlignment="1"/>
    <xf numFmtId="0" fontId="2" fillId="8" borderId="2" xfId="0" applyFont="1" applyFill="1" applyBorder="1" applyAlignment="1">
      <alignment wrapText="1"/>
    </xf>
    <xf numFmtId="0" fontId="2" fillId="8" borderId="6" xfId="0" applyFont="1" applyFill="1" applyBorder="1" applyAlignment="1">
      <alignment wrapText="1"/>
    </xf>
    <xf numFmtId="0" fontId="2" fillId="8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/>
    </xf>
    <xf numFmtId="0" fontId="13" fillId="10" borderId="5" xfId="0" applyFont="1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4232-D887-4FFE-9F0B-2B345ADA3D1F}">
  <dimension ref="A1:H27"/>
  <sheetViews>
    <sheetView topLeftCell="A5" workbookViewId="0">
      <selection activeCell="E27" sqref="E27"/>
    </sheetView>
  </sheetViews>
  <sheetFormatPr baseColWidth="10" defaultColWidth="11.42578125" defaultRowHeight="15" customHeight="1" x14ac:dyDescent="0.25"/>
  <cols>
    <col min="1" max="1" width="55.140625" customWidth="1"/>
    <col min="2" max="2" width="11.42578125" style="39"/>
    <col min="3" max="3" width="11.85546875" style="39" customWidth="1"/>
    <col min="4" max="4" width="11.42578125" style="45"/>
    <col min="5" max="5" width="16.7109375" style="39" customWidth="1"/>
    <col min="6" max="6" width="15.7109375" style="52" customWidth="1"/>
    <col min="7" max="7" width="68.7109375" style="5" customWidth="1"/>
    <col min="8" max="8" width="58.140625" customWidth="1"/>
  </cols>
  <sheetData>
    <row r="1" spans="1:8" x14ac:dyDescent="0.25">
      <c r="A1" s="21" t="s">
        <v>0</v>
      </c>
      <c r="B1" s="31" t="s">
        <v>1</v>
      </c>
      <c r="C1" s="61" t="s">
        <v>2</v>
      </c>
      <c r="D1" s="40" t="s">
        <v>3</v>
      </c>
      <c r="E1" s="31" t="s">
        <v>4</v>
      </c>
      <c r="F1" s="31" t="s">
        <v>5</v>
      </c>
      <c r="G1" s="22" t="s">
        <v>6</v>
      </c>
    </row>
    <row r="2" spans="1:8" x14ac:dyDescent="0.25">
      <c r="A2" s="78" t="s">
        <v>7</v>
      </c>
      <c r="B2" s="79"/>
      <c r="C2" s="79"/>
      <c r="D2" s="79"/>
      <c r="E2" s="79"/>
      <c r="F2" s="79"/>
      <c r="G2" s="15" t="s">
        <v>8</v>
      </c>
    </row>
    <row r="3" spans="1:8" s="6" customFormat="1" ht="21" customHeight="1" x14ac:dyDescent="0.25">
      <c r="A3" s="1" t="s">
        <v>9</v>
      </c>
      <c r="B3" s="34">
        <v>10</v>
      </c>
      <c r="C3" s="34">
        <v>4</v>
      </c>
      <c r="D3" s="37">
        <v>45000</v>
      </c>
      <c r="E3" s="46">
        <f>D3*B3*C3</f>
        <v>1800000</v>
      </c>
      <c r="F3" s="55">
        <f>E3/595</f>
        <v>3025.2100840336134</v>
      </c>
      <c r="G3" s="1" t="s">
        <v>10</v>
      </c>
      <c r="H3" s="23"/>
    </row>
    <row r="4" spans="1:8" s="6" customFormat="1" x14ac:dyDescent="0.25">
      <c r="A4" s="1" t="s">
        <v>11</v>
      </c>
      <c r="B4" s="34">
        <v>2</v>
      </c>
      <c r="C4" s="34">
        <v>4</v>
      </c>
      <c r="D4" s="37">
        <v>50000</v>
      </c>
      <c r="E4" s="46">
        <f>D4*B4*C4</f>
        <v>400000</v>
      </c>
      <c r="F4" s="55">
        <f t="shared" ref="F4:F5" si="0">E4/595</f>
        <v>672.26890756302521</v>
      </c>
      <c r="G4" s="1" t="s">
        <v>12</v>
      </c>
    </row>
    <row r="5" spans="1:8" ht="30" x14ac:dyDescent="0.25">
      <c r="A5" s="1" t="s">
        <v>13</v>
      </c>
      <c r="B5" s="34">
        <f>10+2</f>
        <v>12</v>
      </c>
      <c r="C5" s="34">
        <v>1</v>
      </c>
      <c r="D5" s="37">
        <v>35000</v>
      </c>
      <c r="E5" s="46">
        <f>D5*B5*C5</f>
        <v>420000</v>
      </c>
      <c r="F5" s="55">
        <f t="shared" si="0"/>
        <v>705.88235294117646</v>
      </c>
      <c r="G5" s="53" t="s">
        <v>14</v>
      </c>
    </row>
    <row r="6" spans="1:8" x14ac:dyDescent="0.25">
      <c r="A6" s="17" t="s">
        <v>15</v>
      </c>
      <c r="B6" s="35"/>
      <c r="C6" s="35"/>
      <c r="D6" s="41"/>
      <c r="E6" s="47">
        <f>SUM(E3:E5)</f>
        <v>2620000</v>
      </c>
      <c r="F6" s="56">
        <f>SUM(F3:F5)</f>
        <v>4403.3613445378151</v>
      </c>
      <c r="G6" s="17"/>
    </row>
    <row r="7" spans="1:8" x14ac:dyDescent="0.25">
      <c r="A7" s="78" t="s">
        <v>16</v>
      </c>
      <c r="B7" s="79"/>
      <c r="C7" s="79"/>
      <c r="D7" s="79"/>
      <c r="E7" s="79"/>
      <c r="F7" s="79"/>
      <c r="G7" s="15"/>
    </row>
    <row r="8" spans="1:8" x14ac:dyDescent="0.25">
      <c r="A8" s="78" t="s">
        <v>17</v>
      </c>
      <c r="B8" s="79"/>
      <c r="C8" s="79"/>
      <c r="D8" s="79"/>
      <c r="E8" s="79">
        <f>D8*B8</f>
        <v>0</v>
      </c>
      <c r="F8" s="79">
        <f t="shared" ref="F8" si="1">E8*D8</f>
        <v>0</v>
      </c>
      <c r="G8" s="15"/>
    </row>
    <row r="9" spans="1:8" ht="20.100000000000001" customHeight="1" x14ac:dyDescent="0.25">
      <c r="A9" s="54" t="s">
        <v>18</v>
      </c>
      <c r="B9" s="32">
        <f>10+2</f>
        <v>12</v>
      </c>
      <c r="C9" s="32">
        <v>4</v>
      </c>
      <c r="D9" s="36">
        <v>25000</v>
      </c>
      <c r="E9" s="46">
        <f>D9*B9*C9</f>
        <v>1200000</v>
      </c>
      <c r="F9" s="55">
        <f>E9/595</f>
        <v>2016.8067226890757</v>
      </c>
      <c r="G9" s="1" t="s">
        <v>19</v>
      </c>
      <c r="H9" s="6"/>
    </row>
    <row r="10" spans="1:8" ht="30" x14ac:dyDescent="0.25">
      <c r="A10" s="54" t="s">
        <v>20</v>
      </c>
      <c r="B10" s="32">
        <f>+B9</f>
        <v>12</v>
      </c>
      <c r="C10" s="32">
        <v>1</v>
      </c>
      <c r="D10" s="36">
        <v>20000</v>
      </c>
      <c r="E10" s="46">
        <f t="shared" ref="E10:E16" si="2">D10*B10*C10</f>
        <v>240000</v>
      </c>
      <c r="F10" s="55">
        <f t="shared" ref="F10:F16" si="3">E10/595</f>
        <v>403.36134453781511</v>
      </c>
      <c r="G10" s="1" t="s">
        <v>21</v>
      </c>
      <c r="H10" s="6"/>
    </row>
    <row r="11" spans="1:8" ht="30" x14ac:dyDescent="0.25">
      <c r="A11" s="54" t="s">
        <v>22</v>
      </c>
      <c r="B11" s="32">
        <v>20</v>
      </c>
      <c r="C11" s="32">
        <v>4</v>
      </c>
      <c r="D11" s="36">
        <v>7000</v>
      </c>
      <c r="E11" s="46">
        <f t="shared" si="2"/>
        <v>560000</v>
      </c>
      <c r="F11" s="55">
        <f t="shared" si="3"/>
        <v>941.17647058823525</v>
      </c>
      <c r="G11" s="12" t="s">
        <v>23</v>
      </c>
      <c r="H11" s="6"/>
    </row>
    <row r="12" spans="1:8" x14ac:dyDescent="0.25">
      <c r="A12" s="54" t="s">
        <v>24</v>
      </c>
      <c r="B12" s="32">
        <f>+B11</f>
        <v>20</v>
      </c>
      <c r="C12" s="32">
        <v>4</v>
      </c>
      <c r="D12" s="36">
        <v>12000</v>
      </c>
      <c r="E12" s="46">
        <f t="shared" si="2"/>
        <v>960000</v>
      </c>
      <c r="F12" s="55">
        <f t="shared" si="3"/>
        <v>1613.4453781512605</v>
      </c>
      <c r="G12" s="12" t="s">
        <v>25</v>
      </c>
    </row>
    <row r="13" spans="1:8" x14ac:dyDescent="0.25">
      <c r="A13" s="54" t="s">
        <v>26</v>
      </c>
      <c r="B13" s="32">
        <f>20*3</f>
        <v>60</v>
      </c>
      <c r="C13" s="32">
        <v>4</v>
      </c>
      <c r="D13" s="36">
        <v>1000</v>
      </c>
      <c r="E13" s="46">
        <f t="shared" si="2"/>
        <v>240000</v>
      </c>
      <c r="F13" s="55">
        <f t="shared" si="3"/>
        <v>403.36134453781511</v>
      </c>
      <c r="G13" s="12" t="s">
        <v>27</v>
      </c>
    </row>
    <row r="14" spans="1:8" x14ac:dyDescent="0.25">
      <c r="A14" s="54" t="s">
        <v>28</v>
      </c>
      <c r="B14" s="32">
        <v>1</v>
      </c>
      <c r="C14" s="32">
        <v>4</v>
      </c>
      <c r="D14" s="42">
        <v>200000</v>
      </c>
      <c r="E14" s="46">
        <f t="shared" si="2"/>
        <v>800000</v>
      </c>
      <c r="F14" s="55">
        <f t="shared" si="3"/>
        <v>1344.5378151260504</v>
      </c>
      <c r="G14" s="12"/>
    </row>
    <row r="15" spans="1:8" x14ac:dyDescent="0.25">
      <c r="A15" s="54" t="s">
        <v>29</v>
      </c>
      <c r="B15" s="34">
        <v>12</v>
      </c>
      <c r="C15" s="34">
        <v>1</v>
      </c>
      <c r="D15" s="37">
        <v>1500</v>
      </c>
      <c r="E15" s="46">
        <f t="shared" si="2"/>
        <v>18000</v>
      </c>
      <c r="F15" s="55">
        <f t="shared" si="3"/>
        <v>30.252100840336134</v>
      </c>
      <c r="G15" s="12"/>
    </row>
    <row r="16" spans="1:8" x14ac:dyDescent="0.25">
      <c r="A16" s="54" t="s">
        <v>30</v>
      </c>
      <c r="B16" s="32">
        <v>4</v>
      </c>
      <c r="C16" s="32">
        <v>3</v>
      </c>
      <c r="D16" s="42">
        <v>72000</v>
      </c>
      <c r="E16" s="46">
        <f t="shared" si="2"/>
        <v>864000</v>
      </c>
      <c r="F16" s="55">
        <f t="shared" si="3"/>
        <v>1452.1008403361345</v>
      </c>
      <c r="G16" s="12"/>
    </row>
    <row r="17" spans="1:8" ht="19.5" customHeight="1" x14ac:dyDescent="0.25">
      <c r="A17" s="17" t="s">
        <v>31</v>
      </c>
      <c r="B17" s="35"/>
      <c r="C17" s="35"/>
      <c r="D17" s="41"/>
      <c r="E17" s="47">
        <f>SUM(E9:E16)</f>
        <v>4882000</v>
      </c>
      <c r="F17" s="56">
        <f>SUM(F9:F16)</f>
        <v>8205.042016806723</v>
      </c>
      <c r="G17" s="17"/>
      <c r="H17" s="23"/>
    </row>
    <row r="18" spans="1:8" x14ac:dyDescent="0.25">
      <c r="A18" s="78" t="s">
        <v>32</v>
      </c>
      <c r="B18" s="79"/>
      <c r="C18" s="79"/>
      <c r="D18" s="79"/>
      <c r="E18" s="79"/>
      <c r="F18" s="80"/>
      <c r="G18" s="15"/>
    </row>
    <row r="19" spans="1:8" ht="30" x14ac:dyDescent="0.25">
      <c r="A19" s="1" t="s">
        <v>9</v>
      </c>
      <c r="B19" s="50">
        <f>10</f>
        <v>10</v>
      </c>
      <c r="C19" s="62">
        <v>15</v>
      </c>
      <c r="D19" s="37">
        <v>45000</v>
      </c>
      <c r="E19" s="46">
        <f>D19*B19*C19</f>
        <v>6750000</v>
      </c>
      <c r="F19" s="55">
        <f>E19/595</f>
        <v>11344.53781512605</v>
      </c>
      <c r="G19" s="1" t="s">
        <v>33</v>
      </c>
    </row>
    <row r="20" spans="1:8" x14ac:dyDescent="0.25">
      <c r="A20" s="1" t="s">
        <v>11</v>
      </c>
      <c r="B20" s="51">
        <v>2</v>
      </c>
      <c r="C20" s="62">
        <v>15</v>
      </c>
      <c r="D20" s="37">
        <v>50000</v>
      </c>
      <c r="E20" s="46">
        <f>D20*B20*C20</f>
        <v>1500000</v>
      </c>
      <c r="F20" s="55">
        <f t="shared" ref="F20:F21" si="4">E20/595</f>
        <v>2521.0084033613443</v>
      </c>
      <c r="G20" s="1" t="s">
        <v>34</v>
      </c>
    </row>
    <row r="21" spans="1:8" ht="30" x14ac:dyDescent="0.25">
      <c r="A21" s="1" t="s">
        <v>35</v>
      </c>
      <c r="B21" s="50">
        <f>SUM(B19:B20)</f>
        <v>12</v>
      </c>
      <c r="C21" s="64">
        <v>1</v>
      </c>
      <c r="D21" s="37">
        <v>35000</v>
      </c>
      <c r="E21" s="46">
        <f>D21*B21*C21</f>
        <v>420000</v>
      </c>
      <c r="F21" s="55">
        <f t="shared" si="4"/>
        <v>705.88235294117646</v>
      </c>
      <c r="G21" s="53" t="s">
        <v>14</v>
      </c>
      <c r="H21" s="23"/>
    </row>
    <row r="22" spans="1:8" x14ac:dyDescent="0.25">
      <c r="A22" s="17" t="s">
        <v>36</v>
      </c>
      <c r="B22" s="35"/>
      <c r="C22" s="35"/>
      <c r="D22" s="41"/>
      <c r="E22" s="47">
        <f>SUM(E19:E21)</f>
        <v>8670000</v>
      </c>
      <c r="F22" s="56">
        <f>E22/595</f>
        <v>14571.428571428571</v>
      </c>
      <c r="G22" s="19"/>
    </row>
    <row r="23" spans="1:8" x14ac:dyDescent="0.25">
      <c r="A23" s="24" t="s">
        <v>37</v>
      </c>
      <c r="B23" s="33"/>
      <c r="C23" s="33"/>
      <c r="D23" s="43"/>
      <c r="E23" s="48">
        <f>+E22+E17</f>
        <v>13552000</v>
      </c>
      <c r="F23" s="57">
        <f>E23/595</f>
        <v>22776.470588235294</v>
      </c>
      <c r="G23" s="67" t="s">
        <v>38</v>
      </c>
      <c r="H23" s="23"/>
    </row>
    <row r="24" spans="1:8" x14ac:dyDescent="0.25">
      <c r="A24" s="2" t="s">
        <v>39</v>
      </c>
      <c r="B24" s="38"/>
      <c r="C24" s="38"/>
      <c r="D24" s="44"/>
      <c r="E24" s="49">
        <f>E22+E17+E6</f>
        <v>16172000</v>
      </c>
      <c r="F24" s="58">
        <f>E24/595</f>
        <v>27179.831932773108</v>
      </c>
      <c r="G24" s="16"/>
    </row>
    <row r="26" spans="1:8" ht="15" customHeight="1" x14ac:dyDescent="0.25">
      <c r="B26" s="65" t="s">
        <v>40</v>
      </c>
      <c r="C26" s="65" t="s">
        <v>41</v>
      </c>
      <c r="D26" s="65" t="s">
        <v>42</v>
      </c>
      <c r="E26" s="66" t="s">
        <v>43</v>
      </c>
    </row>
    <row r="27" spans="1:8" ht="15" customHeight="1" x14ac:dyDescent="0.25">
      <c r="B27" s="39">
        <v>700</v>
      </c>
      <c r="C27" s="39">
        <v>10</v>
      </c>
      <c r="D27" s="39">
        <v>5</v>
      </c>
      <c r="E27" s="45">
        <f>B27/(C27*D27)</f>
        <v>14</v>
      </c>
    </row>
  </sheetData>
  <mergeCells count="4">
    <mergeCell ref="A2:F2"/>
    <mergeCell ref="A7:F7"/>
    <mergeCell ref="A8:F8"/>
    <mergeCell ref="A18:F18"/>
  </mergeCells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442A-2019-4EA9-952D-090723C5A98A}">
  <dimension ref="A1:H12"/>
  <sheetViews>
    <sheetView tabSelected="1" workbookViewId="0">
      <selection activeCell="G11" sqref="G11"/>
    </sheetView>
  </sheetViews>
  <sheetFormatPr baseColWidth="10" defaultColWidth="11.42578125" defaultRowHeight="15" customHeight="1" x14ac:dyDescent="0.25"/>
  <cols>
    <col min="1" max="1" width="51.28515625" customWidth="1"/>
    <col min="2" max="2" width="11.42578125" style="39"/>
    <col min="3" max="3" width="11.42578125" style="39" customWidth="1"/>
    <col min="4" max="5" width="11.42578125" style="9"/>
    <col min="6" max="6" width="19.85546875" style="10" customWidth="1"/>
    <col min="7" max="7" width="58.85546875" style="5" customWidth="1"/>
    <col min="8" max="8" width="60.7109375" customWidth="1"/>
  </cols>
  <sheetData>
    <row r="1" spans="1:8" x14ac:dyDescent="0.25">
      <c r="A1" s="3" t="s">
        <v>0</v>
      </c>
      <c r="B1" s="59" t="s">
        <v>1</v>
      </c>
      <c r="C1" s="59" t="s">
        <v>2</v>
      </c>
      <c r="D1" s="7" t="s">
        <v>3</v>
      </c>
      <c r="E1" s="3" t="s">
        <v>44</v>
      </c>
      <c r="F1" s="3" t="s">
        <v>5</v>
      </c>
      <c r="G1" s="4" t="s">
        <v>6</v>
      </c>
    </row>
    <row r="2" spans="1:8" x14ac:dyDescent="0.25">
      <c r="A2" s="20" t="s">
        <v>45</v>
      </c>
      <c r="B2" s="60"/>
      <c r="C2" s="60"/>
      <c r="D2" s="13"/>
      <c r="E2" s="13"/>
      <c r="F2" s="14"/>
      <c r="G2" s="15"/>
    </row>
    <row r="3" spans="1:8" x14ac:dyDescent="0.25">
      <c r="A3" s="1" t="s">
        <v>20</v>
      </c>
      <c r="B3" s="32">
        <v>10</v>
      </c>
      <c r="C3" s="32">
        <v>2</v>
      </c>
      <c r="D3" s="11">
        <v>5000</v>
      </c>
      <c r="E3" s="11">
        <f>B3*C3*D3</f>
        <v>100000</v>
      </c>
      <c r="F3" s="55">
        <f>+E3/595</f>
        <v>168.0672268907563</v>
      </c>
      <c r="G3" s="68" t="s">
        <v>46</v>
      </c>
    </row>
    <row r="4" spans="1:8" x14ac:dyDescent="0.25">
      <c r="A4" s="1" t="s">
        <v>22</v>
      </c>
      <c r="B4" s="32">
        <v>20</v>
      </c>
      <c r="C4" s="32">
        <v>2</v>
      </c>
      <c r="D4" s="11">
        <v>7000</v>
      </c>
      <c r="E4" s="11">
        <f>B4*C4*D4</f>
        <v>280000</v>
      </c>
      <c r="F4" s="55">
        <f t="shared" ref="F4:F8" si="0">+E4/595</f>
        <v>470.58823529411762</v>
      </c>
      <c r="G4" s="12" t="s">
        <v>47</v>
      </c>
    </row>
    <row r="5" spans="1:8" x14ac:dyDescent="0.25">
      <c r="A5" s="1" t="s">
        <v>24</v>
      </c>
      <c r="B5" s="32">
        <f>+B4</f>
        <v>20</v>
      </c>
      <c r="C5" s="32">
        <v>2</v>
      </c>
      <c r="D5" s="11">
        <v>12000</v>
      </c>
      <c r="E5" s="11">
        <f>B5*C5*D5</f>
        <v>480000</v>
      </c>
      <c r="F5" s="55">
        <f t="shared" si="0"/>
        <v>806.72268907563023</v>
      </c>
      <c r="G5" s="12" t="s">
        <v>47</v>
      </c>
    </row>
    <row r="6" spans="1:8" x14ac:dyDescent="0.25">
      <c r="A6" s="1" t="s">
        <v>26</v>
      </c>
      <c r="B6" s="32">
        <f>20*3</f>
        <v>60</v>
      </c>
      <c r="C6" s="32">
        <v>2</v>
      </c>
      <c r="D6" s="11">
        <v>1000</v>
      </c>
      <c r="E6" s="11">
        <f>B6*C6*D6</f>
        <v>120000</v>
      </c>
      <c r="F6" s="55">
        <f t="shared" si="0"/>
        <v>201.68067226890756</v>
      </c>
      <c r="G6" s="12" t="s">
        <v>48</v>
      </c>
    </row>
    <row r="7" spans="1:8" x14ac:dyDescent="0.25">
      <c r="A7" s="1" t="s">
        <v>49</v>
      </c>
      <c r="B7" s="63">
        <v>10</v>
      </c>
      <c r="C7" s="32">
        <v>1</v>
      </c>
      <c r="D7" s="11">
        <v>1500</v>
      </c>
      <c r="E7" s="11">
        <f>B7*C7*D7</f>
        <v>15000</v>
      </c>
      <c r="F7" s="55">
        <f t="shared" si="0"/>
        <v>25.210084033613445</v>
      </c>
      <c r="G7" s="12"/>
    </row>
    <row r="8" spans="1:8" x14ac:dyDescent="0.25">
      <c r="A8" s="17" t="s">
        <v>31</v>
      </c>
      <c r="B8" s="35"/>
      <c r="C8" s="35"/>
      <c r="D8" s="18"/>
      <c r="E8" s="18">
        <f>SUM(E3:E7)</f>
        <v>995000</v>
      </c>
      <c r="F8" s="55">
        <f t="shared" si="0"/>
        <v>1672.2689075630253</v>
      </c>
      <c r="G8" s="19"/>
      <c r="H8" s="23"/>
    </row>
    <row r="9" spans="1:8" x14ac:dyDescent="0.25">
      <c r="A9" s="20" t="s">
        <v>50</v>
      </c>
      <c r="B9" s="60"/>
      <c r="C9" s="60"/>
      <c r="D9" s="13"/>
      <c r="E9" s="13">
        <f>B9*C9*D9</f>
        <v>0</v>
      </c>
      <c r="F9" s="14"/>
      <c r="G9" s="15"/>
    </row>
    <row r="10" spans="1:8" ht="21.75" customHeight="1" x14ac:dyDescent="0.25">
      <c r="A10" s="1" t="s">
        <v>51</v>
      </c>
      <c r="B10" s="63">
        <v>700</v>
      </c>
      <c r="C10" s="32">
        <v>1</v>
      </c>
      <c r="D10" s="11">
        <v>5000</v>
      </c>
      <c r="E10" s="11">
        <f>B10*C10*D10</f>
        <v>3500000</v>
      </c>
      <c r="F10" s="55">
        <f>+E10/595</f>
        <v>5882.3529411764703</v>
      </c>
      <c r="G10" s="1" t="s">
        <v>52</v>
      </c>
      <c r="H10" s="23"/>
    </row>
    <row r="11" spans="1:8" x14ac:dyDescent="0.25">
      <c r="A11" s="17" t="s">
        <v>53</v>
      </c>
      <c r="B11" s="35"/>
      <c r="C11" s="35"/>
      <c r="D11" s="18"/>
      <c r="E11" s="18">
        <f>+E10</f>
        <v>3500000</v>
      </c>
      <c r="F11" s="55">
        <f t="shared" ref="F11:F12" si="1">+E11/595</f>
        <v>5882.3529411764703</v>
      </c>
      <c r="G11" s="19"/>
    </row>
    <row r="12" spans="1:8" x14ac:dyDescent="0.25">
      <c r="A12" s="2" t="s">
        <v>54</v>
      </c>
      <c r="B12" s="38"/>
      <c r="C12" s="38"/>
      <c r="D12" s="8"/>
      <c r="E12" s="8">
        <f>E11+E8</f>
        <v>4495000</v>
      </c>
      <c r="F12" s="55">
        <f t="shared" si="1"/>
        <v>7554.6218487394954</v>
      </c>
      <c r="G12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E77E-8D87-4387-B4A1-89378C79E95F}">
  <dimension ref="A1:O18"/>
  <sheetViews>
    <sheetView workbookViewId="0">
      <selection activeCell="O12" sqref="O12"/>
    </sheetView>
  </sheetViews>
  <sheetFormatPr baseColWidth="10" defaultColWidth="9.140625" defaultRowHeight="15" customHeight="1" x14ac:dyDescent="0.25"/>
  <cols>
    <col min="1" max="1" width="43.85546875" customWidth="1"/>
    <col min="2" max="2" width="8.42578125" customWidth="1"/>
    <col min="3" max="10" width="4.28515625" customWidth="1"/>
    <col min="11" max="12" width="14.7109375" customWidth="1"/>
    <col min="13" max="13" width="10.7109375" style="29" customWidth="1"/>
    <col min="14" max="14" width="10.85546875" style="29" customWidth="1"/>
    <col min="15" max="15" width="49.140625" bestFit="1" customWidth="1"/>
  </cols>
  <sheetData>
    <row r="1" spans="1:15" s="39" customFormat="1" ht="15" customHeight="1" x14ac:dyDescent="0.25">
      <c r="A1" s="85" t="s">
        <v>55</v>
      </c>
      <c r="B1" s="87" t="s">
        <v>56</v>
      </c>
      <c r="C1" s="89" t="s">
        <v>57</v>
      </c>
      <c r="D1" s="89"/>
      <c r="E1" s="89"/>
      <c r="F1" s="90"/>
      <c r="G1" s="89" t="s">
        <v>58</v>
      </c>
      <c r="H1" s="89"/>
      <c r="I1" s="89"/>
      <c r="J1" s="90"/>
      <c r="K1" s="93" t="s">
        <v>59</v>
      </c>
      <c r="L1" s="93" t="s">
        <v>60</v>
      </c>
      <c r="M1" s="81" t="s">
        <v>61</v>
      </c>
      <c r="N1" s="91" t="s">
        <v>62</v>
      </c>
      <c r="O1" s="81" t="s">
        <v>63</v>
      </c>
    </row>
    <row r="2" spans="1:15" s="10" customFormat="1" ht="21" customHeight="1" x14ac:dyDescent="0.25">
      <c r="A2" s="86"/>
      <c r="B2" s="88"/>
      <c r="C2" s="77">
        <v>1</v>
      </c>
      <c r="D2" s="77">
        <v>2</v>
      </c>
      <c r="E2" s="77">
        <v>3</v>
      </c>
      <c r="F2" s="77">
        <v>4</v>
      </c>
      <c r="G2" s="77">
        <v>1</v>
      </c>
      <c r="H2" s="77">
        <v>2</v>
      </c>
      <c r="I2" s="77">
        <v>3</v>
      </c>
      <c r="J2" s="77">
        <v>4</v>
      </c>
      <c r="K2" s="94"/>
      <c r="L2" s="94"/>
      <c r="M2" s="82"/>
      <c r="N2" s="92"/>
      <c r="O2" s="82"/>
    </row>
    <row r="3" spans="1:15" x14ac:dyDescent="0.25">
      <c r="A3" s="25" t="s">
        <v>64</v>
      </c>
      <c r="B3" s="30" t="s">
        <v>65</v>
      </c>
      <c r="C3" s="26" t="s">
        <v>66</v>
      </c>
      <c r="D3" s="26" t="s">
        <v>66</v>
      </c>
      <c r="E3" s="26" t="s">
        <v>66</v>
      </c>
      <c r="F3" s="26" t="s">
        <v>66</v>
      </c>
      <c r="G3" s="26" t="s">
        <v>66</v>
      </c>
      <c r="H3" s="26" t="s">
        <v>66</v>
      </c>
      <c r="I3" s="26" t="s">
        <v>66</v>
      </c>
      <c r="J3" s="26" t="s">
        <v>66</v>
      </c>
      <c r="K3" s="95" t="s">
        <v>67</v>
      </c>
      <c r="L3" s="96"/>
      <c r="M3" s="83" t="s">
        <v>67</v>
      </c>
      <c r="N3" s="84"/>
      <c r="O3" s="26" t="s">
        <v>68</v>
      </c>
    </row>
    <row r="4" spans="1:15" x14ac:dyDescent="0.25">
      <c r="A4" s="25" t="s">
        <v>69</v>
      </c>
      <c r="B4" s="30" t="s">
        <v>65</v>
      </c>
      <c r="C4" s="26" t="s">
        <v>66</v>
      </c>
      <c r="D4" s="26" t="s">
        <v>66</v>
      </c>
      <c r="E4" s="26" t="s">
        <v>66</v>
      </c>
      <c r="F4" s="26" t="s">
        <v>66</v>
      </c>
      <c r="G4" s="26" t="s">
        <v>66</v>
      </c>
      <c r="H4" s="26" t="s">
        <v>66</v>
      </c>
      <c r="I4" s="26" t="s">
        <v>66</v>
      </c>
      <c r="J4" s="26" t="s">
        <v>66</v>
      </c>
      <c r="K4" s="95" t="s">
        <v>67</v>
      </c>
      <c r="L4" s="96"/>
      <c r="M4" s="83" t="s">
        <v>67</v>
      </c>
      <c r="N4" s="84"/>
      <c r="O4" s="26" t="s">
        <v>68</v>
      </c>
    </row>
    <row r="5" spans="1:15" x14ac:dyDescent="0.25">
      <c r="A5" s="25" t="s">
        <v>70</v>
      </c>
      <c r="B5" s="30" t="s">
        <v>65</v>
      </c>
      <c r="C5" s="26" t="s">
        <v>66</v>
      </c>
      <c r="D5" s="26" t="s">
        <v>66</v>
      </c>
      <c r="E5" s="26" t="s">
        <v>66</v>
      </c>
      <c r="F5" s="26" t="s">
        <v>66</v>
      </c>
      <c r="G5" s="26" t="s">
        <v>66</v>
      </c>
      <c r="H5" s="26" t="s">
        <v>66</v>
      </c>
      <c r="I5" s="26" t="s">
        <v>66</v>
      </c>
      <c r="J5" s="26" t="s">
        <v>66</v>
      </c>
      <c r="K5" s="95" t="s">
        <v>67</v>
      </c>
      <c r="L5" s="96"/>
      <c r="M5" s="83" t="s">
        <v>67</v>
      </c>
      <c r="N5" s="84"/>
      <c r="O5" s="26" t="s">
        <v>71</v>
      </c>
    </row>
    <row r="6" spans="1:15" x14ac:dyDescent="0.25">
      <c r="A6" s="25" t="s">
        <v>72</v>
      </c>
      <c r="B6" s="30">
        <v>1</v>
      </c>
      <c r="C6" s="27" t="s">
        <v>66</v>
      </c>
      <c r="D6" s="26" t="s">
        <v>66</v>
      </c>
      <c r="E6" s="26" t="s">
        <v>66</v>
      </c>
      <c r="F6" s="26" t="s">
        <v>66</v>
      </c>
      <c r="G6" s="26" t="s">
        <v>66</v>
      </c>
      <c r="H6" s="26" t="s">
        <v>66</v>
      </c>
      <c r="I6" s="26" t="s">
        <v>66</v>
      </c>
      <c r="J6" s="26" t="s">
        <v>66</v>
      </c>
      <c r="K6" s="72"/>
      <c r="L6" s="72"/>
      <c r="M6" s="69">
        <v>45024</v>
      </c>
      <c r="N6" s="69">
        <v>45024</v>
      </c>
      <c r="O6" s="26" t="s">
        <v>73</v>
      </c>
    </row>
    <row r="7" spans="1:15" x14ac:dyDescent="0.25">
      <c r="A7" s="25" t="s">
        <v>74</v>
      </c>
      <c r="B7" s="30">
        <v>4</v>
      </c>
      <c r="C7" s="26" t="s">
        <v>66</v>
      </c>
      <c r="D7" s="27" t="s">
        <v>66</v>
      </c>
      <c r="E7" s="26" t="s">
        <v>66</v>
      </c>
      <c r="F7" s="26" t="s">
        <v>66</v>
      </c>
      <c r="G7" s="26" t="s">
        <v>66</v>
      </c>
      <c r="H7" s="26" t="s">
        <v>66</v>
      </c>
      <c r="I7" s="26" t="s">
        <v>66</v>
      </c>
      <c r="J7" s="26" t="s">
        <v>66</v>
      </c>
      <c r="K7" s="73" t="s">
        <v>75</v>
      </c>
      <c r="L7" s="74" t="s">
        <v>76</v>
      </c>
      <c r="M7" s="69">
        <v>45085</v>
      </c>
      <c r="N7" s="69">
        <v>45207</v>
      </c>
      <c r="O7" s="26" t="s">
        <v>77</v>
      </c>
    </row>
    <row r="8" spans="1:15" x14ac:dyDescent="0.25">
      <c r="A8" s="25" t="s">
        <v>78</v>
      </c>
      <c r="B8" s="30">
        <v>1</v>
      </c>
      <c r="C8" s="26" t="s">
        <v>66</v>
      </c>
      <c r="D8" s="26" t="s">
        <v>66</v>
      </c>
      <c r="E8" s="27" t="s">
        <v>66</v>
      </c>
      <c r="F8" s="26" t="s">
        <v>66</v>
      </c>
      <c r="G8" s="26" t="s">
        <v>66</v>
      </c>
      <c r="H8" s="26" t="s">
        <v>66</v>
      </c>
      <c r="I8" s="26" t="s">
        <v>66</v>
      </c>
      <c r="J8" s="26" t="s">
        <v>66</v>
      </c>
      <c r="K8" s="73" t="s">
        <v>79</v>
      </c>
      <c r="L8" s="73" t="s">
        <v>80</v>
      </c>
      <c r="M8" s="69" t="s">
        <v>81</v>
      </c>
      <c r="N8" s="69" t="s">
        <v>81</v>
      </c>
      <c r="O8" s="26" t="s">
        <v>82</v>
      </c>
    </row>
    <row r="9" spans="1:15" x14ac:dyDescent="0.25">
      <c r="A9" s="76" t="s">
        <v>83</v>
      </c>
      <c r="B9" s="30"/>
      <c r="C9" s="26"/>
      <c r="D9" s="26"/>
      <c r="E9" s="27"/>
      <c r="F9" s="26"/>
      <c r="G9" s="26"/>
      <c r="H9" s="26"/>
      <c r="I9" s="26"/>
      <c r="J9" s="26"/>
      <c r="K9" s="73"/>
      <c r="L9" s="73"/>
      <c r="M9" s="69"/>
      <c r="N9" s="69"/>
      <c r="O9" s="26"/>
    </row>
    <row r="10" spans="1:15" x14ac:dyDescent="0.25">
      <c r="A10" s="28" t="s">
        <v>84</v>
      </c>
      <c r="B10" s="30">
        <v>2</v>
      </c>
      <c r="C10" s="26" t="s">
        <v>66</v>
      </c>
      <c r="D10" s="26" t="s">
        <v>66</v>
      </c>
      <c r="E10" s="27" t="s">
        <v>66</v>
      </c>
      <c r="F10" s="26" t="s">
        <v>66</v>
      </c>
      <c r="G10" s="26" t="s">
        <v>66</v>
      </c>
      <c r="H10" s="26" t="s">
        <v>66</v>
      </c>
      <c r="I10" s="26" t="s">
        <v>66</v>
      </c>
      <c r="J10" s="26" t="s">
        <v>66</v>
      </c>
      <c r="K10" s="73" t="s">
        <v>85</v>
      </c>
      <c r="L10" s="74">
        <v>45172</v>
      </c>
      <c r="M10" s="70" t="s">
        <v>86</v>
      </c>
      <c r="N10" s="70" t="s">
        <v>87</v>
      </c>
      <c r="O10" s="26" t="s">
        <v>88</v>
      </c>
    </row>
    <row r="11" spans="1:15" x14ac:dyDescent="0.25">
      <c r="A11" s="28" t="s">
        <v>89</v>
      </c>
      <c r="B11" s="30">
        <v>4</v>
      </c>
      <c r="C11" s="26"/>
      <c r="D11" s="26"/>
      <c r="E11" s="26"/>
      <c r="F11" s="27"/>
      <c r="G11" s="26"/>
      <c r="H11" s="26"/>
      <c r="I11" s="26"/>
      <c r="J11" s="26"/>
      <c r="K11" s="74">
        <v>45025</v>
      </c>
      <c r="L11" s="74">
        <v>45147</v>
      </c>
      <c r="M11" s="70" t="s">
        <v>75</v>
      </c>
      <c r="N11" s="69" t="s">
        <v>76</v>
      </c>
      <c r="O11" s="26" t="s">
        <v>90</v>
      </c>
    </row>
    <row r="12" spans="1:15" x14ac:dyDescent="0.25">
      <c r="A12" s="25" t="s">
        <v>91</v>
      </c>
      <c r="B12" s="30">
        <v>15</v>
      </c>
      <c r="C12" s="26" t="s">
        <v>66</v>
      </c>
      <c r="D12" s="26" t="s">
        <v>66</v>
      </c>
      <c r="E12" s="26" t="s">
        <v>66</v>
      </c>
      <c r="F12" s="27" t="s">
        <v>66</v>
      </c>
      <c r="G12" s="27" t="s">
        <v>66</v>
      </c>
      <c r="H12" s="26" t="s">
        <v>66</v>
      </c>
      <c r="I12" s="26" t="s">
        <v>66</v>
      </c>
      <c r="J12" s="26" t="s">
        <v>66</v>
      </c>
      <c r="K12" s="74">
        <v>45239</v>
      </c>
      <c r="L12" s="74" t="s">
        <v>92</v>
      </c>
      <c r="M12" s="70" t="s">
        <v>85</v>
      </c>
      <c r="N12" s="69">
        <v>45172</v>
      </c>
      <c r="O12" s="26" t="s">
        <v>93</v>
      </c>
    </row>
    <row r="15" spans="1:15" x14ac:dyDescent="0.25">
      <c r="A15" s="71" t="s">
        <v>94</v>
      </c>
    </row>
    <row r="16" spans="1:15" x14ac:dyDescent="0.25">
      <c r="A16" s="71" t="s">
        <v>95</v>
      </c>
    </row>
    <row r="17" spans="1:1" x14ac:dyDescent="0.25">
      <c r="A17" s="71" t="s">
        <v>96</v>
      </c>
    </row>
    <row r="18" spans="1:1" ht="15" customHeight="1" x14ac:dyDescent="0.25">
      <c r="A18" s="75" t="s">
        <v>97</v>
      </c>
    </row>
  </sheetData>
  <mergeCells count="15">
    <mergeCell ref="O1:O2"/>
    <mergeCell ref="M3:N3"/>
    <mergeCell ref="M4:N4"/>
    <mergeCell ref="M5:N5"/>
    <mergeCell ref="A1:A2"/>
    <mergeCell ref="B1:B2"/>
    <mergeCell ref="C1:F1"/>
    <mergeCell ref="G1:J1"/>
    <mergeCell ref="M1:M2"/>
    <mergeCell ref="N1:N2"/>
    <mergeCell ref="K1:K2"/>
    <mergeCell ref="L1:L2"/>
    <mergeCell ref="K3:L3"/>
    <mergeCell ref="K4:L4"/>
    <mergeCell ref="K5:L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SharedWithUsers xmlns="3940b711-dc1d-4235-b0a5-48d487f0d3b9">
      <UserInfo>
        <DisplayName>Alirah WEYORI</DisplayName>
        <AccountId>923</AccountId>
        <AccountType/>
      </UserInfo>
      <UserInfo>
        <DisplayName>Faroukou GARBA</DisplayName>
        <AccountId>1743</AccountId>
        <AccountType/>
      </UserInfo>
      <UserInfo>
        <DisplayName>Mohamed SALEM</DisplayName>
        <AccountId>20</AccountId>
        <AccountType/>
      </UserInfo>
      <UserInfo>
        <DisplayName>Outman BADAOUI</DisplayName>
        <AccountId>1749</AccountId>
        <AccountType/>
      </UserInfo>
      <UserInfo>
        <DisplayName>Federico DOEHNERT</DisplayName>
        <AccountId>436</AccountId>
        <AccountType/>
      </UserInfo>
      <UserInfo>
        <DisplayName>Moumouni KABRE</DisplayName>
        <AccountId>1750</AccountId>
        <AccountType/>
      </UserInfo>
      <UserInfo>
        <DisplayName>Moro DABRE</DisplayName>
        <AccountId>1751</AccountId>
        <AccountType/>
      </UserInfo>
      <UserInfo>
        <DisplayName>Zakaria KONFE</DisplayName>
        <AccountId>1920</AccountId>
        <AccountType/>
      </UserInfo>
      <UserInfo>
        <DisplayName>Isra WISHAH</DisplayName>
        <AccountId>18</AccountId>
        <AccountType/>
      </UserInfo>
      <UserInfo>
        <DisplayName>Marianne JENSBY</DisplayName>
        <AccountId>1110</AccountId>
        <AccountType/>
      </UserInfo>
      <UserInfo>
        <DisplayName>Cassandra WALKER</DisplayName>
        <AccountId>381</AccountId>
        <AccountType/>
      </UserInfo>
      <UserInfo>
        <DisplayName>Ramatoulaye DIEYE</DisplayName>
        <AccountId>1784</AccountId>
        <AccountType/>
      </UserInfo>
      <UserInfo>
        <DisplayName>Jocelyne SANKIMA</DisplayName>
        <AccountId>1968</AccountId>
        <AccountType/>
      </UserInfo>
    </SharedWithUsers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185203DB-DA46-4AC2-B727-696F82A247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1CF079-C268-44C3-AB4E-3F179F5FD0B9}"/>
</file>

<file path=customXml/itemProps3.xml><?xml version="1.0" encoding="utf-8"?>
<ds:datastoreItem xmlns:ds="http://schemas.openxmlformats.org/officeDocument/2006/customXml" ds:itemID="{AD2E21EB-CDFE-4917-BCA1-CEDA4ECA3C3A}">
  <ds:schemaRefs>
    <ds:schemaRef ds:uri="http://purl.org/dc/terms/"/>
    <ds:schemaRef ds:uri="3940b711-dc1d-4235-b0a5-48d487f0d3b9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49256dcf-74b5-4e0f-b2ab-e17546be8a8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Budget of F2F</vt:lpstr>
      <vt:lpstr>Budget of remote</vt:lpstr>
      <vt:lpstr>Planning rCARI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GARBA Faroukou</dc:creator>
  <cp:keywords/>
  <dc:description/>
  <cp:lastModifiedBy>Zakaria KONFE</cp:lastModifiedBy>
  <cp:revision/>
  <dcterms:created xsi:type="dcterms:W3CDTF">2023-07-04T12:03:26Z</dcterms:created>
  <dcterms:modified xsi:type="dcterms:W3CDTF">2024-04-08T12:38:55Z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