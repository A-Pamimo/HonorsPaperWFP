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1_TOR_SoW/"/>
    </mc:Choice>
  </mc:AlternateContent>
  <xr:revisionPtr revIDLastSave="161" documentId="8_{DCED58DD-9552-4084-A9A8-30E9EA2B52B2}" xr6:coauthVersionLast="47" xr6:coauthVersionMax="47" xr10:uidLastSave="{992A8522-9BE8-437B-9B35-E0581F842DA2}"/>
  <bookViews>
    <workbookView xWindow="-110" yWindow="-110" windowWidth="19420" windowHeight="11620" activeTab="1" xr2:uid="{BBB588FB-9F36-4EE5-A217-048BFEA14569}"/>
  </bookViews>
  <sheets>
    <sheet name="Budget of F2F" sheetId="4" r:id="rId1"/>
    <sheet name="Budget of remote" sheetId="5" r:id="rId2"/>
    <sheet name="Planning rCARI " sheetId="1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F11" i="5"/>
  <c r="F4" i="5"/>
  <c r="F5" i="5"/>
  <c r="F6" i="5"/>
  <c r="F7" i="5"/>
  <c r="F8" i="5"/>
  <c r="F3" i="5"/>
  <c r="H4" i="4"/>
  <c r="E28" i="4"/>
  <c r="H12" i="4"/>
  <c r="H15" i="4"/>
  <c r="H5" i="4"/>
  <c r="G11" i="5"/>
  <c r="H11" i="5"/>
  <c r="G5" i="5"/>
  <c r="H5" i="5" s="1"/>
  <c r="G8" i="5"/>
  <c r="H8" i="5" s="1"/>
  <c r="F19" i="4"/>
  <c r="G19" i="4" s="1"/>
  <c r="F12" i="4"/>
  <c r="F15" i="4"/>
  <c r="F4" i="4"/>
  <c r="F5" i="4"/>
  <c r="B7" i="5"/>
  <c r="G7" i="5" s="1"/>
  <c r="H7" i="5" s="1"/>
  <c r="D6" i="5"/>
  <c r="B6" i="5"/>
  <c r="G6" i="5" s="1"/>
  <c r="H6" i="5" s="1"/>
  <c r="B3" i="5"/>
  <c r="B6" i="4"/>
  <c r="B18" i="4"/>
  <c r="B20" i="4" s="1"/>
  <c r="C20" i="4"/>
  <c r="B14" i="4"/>
  <c r="C13" i="4"/>
  <c r="B13" i="4"/>
  <c r="G12" i="4"/>
  <c r="B10" i="4"/>
  <c r="B11" i="4" l="1"/>
  <c r="F10" i="4"/>
  <c r="H10" i="4"/>
  <c r="F13" i="4"/>
  <c r="H13" i="4"/>
  <c r="F14" i="4"/>
  <c r="H14" i="4"/>
  <c r="F6" i="4"/>
  <c r="H6" i="4"/>
  <c r="F9" i="5"/>
  <c r="F13" i="5"/>
  <c r="B4" i="5"/>
  <c r="G4" i="5" s="1"/>
  <c r="H4" i="5" s="1"/>
  <c r="G3" i="5"/>
  <c r="H3" i="5" s="1"/>
  <c r="F20" i="4"/>
  <c r="F18" i="4"/>
  <c r="G14" i="4"/>
  <c r="G12" i="5"/>
  <c r="G20" i="4"/>
  <c r="G15" i="4"/>
  <c r="G10" i="4"/>
  <c r="G5" i="4"/>
  <c r="G4" i="4"/>
  <c r="G6" i="4"/>
  <c r="F3" i="4"/>
  <c r="G13" i="4"/>
  <c r="F9" i="4"/>
  <c r="G9" i="4" s="1"/>
  <c r="G3" i="4" l="1"/>
  <c r="F7" i="4"/>
  <c r="H7" i="4"/>
  <c r="I7" i="4" s="1"/>
  <c r="F11" i="4"/>
  <c r="H11" i="4"/>
  <c r="H16" i="4" s="1"/>
  <c r="I16" i="4" s="1"/>
  <c r="F21" i="4"/>
  <c r="H12" i="5"/>
  <c r="G9" i="5"/>
  <c r="G13" i="5" s="1"/>
  <c r="H13" i="5" s="1"/>
  <c r="G18" i="4"/>
  <c r="G7" i="4"/>
  <c r="F16" i="4" l="1"/>
  <c r="G11" i="4"/>
  <c r="H9" i="5"/>
  <c r="G21" i="4"/>
  <c r="G16" i="4"/>
  <c r="F22" i="4" l="1"/>
  <c r="G22" i="4" s="1"/>
  <c r="F23" i="4"/>
  <c r="G2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tc={869B2F64-766F-489A-B51B-9C4E82F39C48}</author>
    <author>tc={0F21D023-95EB-44AB-8647-0F8F0DAF92AA}</author>
    <author>tc={F16A1A00-6E5B-41EB-B5F3-21CC7B32BBD3}</author>
    <author>tc={5B0B0A17-7C80-4C29-87BA-6C52ED4FDBFE}</author>
    <author>tc={FBFE6001-F36B-4C6F-AADF-99CB38DB3EC5}</author>
  </authors>
  <commentList>
    <comment ref="D1" authorId="0" shapeId="0" xr:uid="{869B2F64-766F-489A-B51B-9C4E82F39C48}">
      <text>
        <t>[Threaded comment]
Your version of Excel allows you to read this threaded comment; however, any edits to it will get removed if the file is opened in a newer version of Excel. Learn more: https://go.microsoft.com/fwlink/?linkid=870924
Comment:
    @Cassandra WALKER I will recommend the following days for the training and listing of HH. It will have to be cleared whether same enumerators doing the listing will also do the actual survey</t>
      </text>
    </comment>
    <comment ref="I3" authorId="1" shapeId="0" xr:uid="{0F21D023-95EB-44AB-8647-0F8F0DAF92AA}">
      <text>
        <t>[Threaded comment]
Your version of Excel allows you to read this threaded comment; however, any edits to it will get removed if the file is opened in a newer version of Excel. Learn more: https://go.microsoft.com/fwlink/?linkid=870924
Comment:
    @Alirah WEYORI do you think that 1 day 'training' is necessary for the listing, including coffee break? I guess it is cheap, but not sure it is necessary? Also, would you (or should we) plan to be there for that?)</t>
      </text>
    </comment>
    <comment ref="A12" authorId="2" shapeId="0" xr:uid="{F16A1A00-6E5B-41EB-B5F3-21CC7B32BB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it not possible to have lunch and coffee break as part of the package when renting the Hall that we would use for the training? Usually, I think this is included in the package. I don't know if this is different in BF. @Faroukou GARBA
Reply:
    Alirah In Burkina Faso the two elements are always separate. Coffee break is not part of the workshop room renting fees.  </t>
      </text>
    </comment>
    <comment ref="B14" authorId="3" shapeId="0" xr:uid="{5B0B0A17-7C80-4C29-87BA-6C52ED4FDBFE}">
      <text>
        <t>[Threaded comment]
Your version of Excel allows you to read this threaded comment; however, any edits to it will get removed if the file is opened in a newer version of Excel. Learn more: https://go.microsoft.com/fwlink/?linkid=870924
Comment:
    We would need just one room for both F2F and remote training. Should be possible to combine them just like we did in CAR
Reply:
    Agreed, but depends on Geopol, right? we should discuss with Farouku and probably also include Jonas directly in the discussions?</t>
      </text>
    </comment>
    <comment ref="C18" authorId="4" shapeId="0" xr:uid="{FBFE6001-F36B-4C6F-AADF-99CB38DB3EC5}">
      <text>
        <t>[Threaded comment]
Your version of Excel allows you to read this threaded comment; however, any edits to it will get removed if the file is opened in a newer version of Excel. Learn more: https://go.microsoft.com/fwlink/?linkid=870924
Comment:
    @Cassandra WALKER @Faroukou GARBA, 7 days for the actual survey?? Is this realistic?? How many questionnaires do enumerators administer per da??
Reply:
    remind me again, what is our realistic goal, we said 8 min for remote, but F2F, how many per day?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tc={018FB36E-5B54-4B51-BC51-5FAFC0977BA3}</author>
  </authors>
  <commentList>
    <comment ref="A5" authorId="0" shapeId="0" xr:uid="{018FB36E-5B54-4B51-BC51-5FAFC097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contextualisation of the census questionnaire</t>
      </text>
    </comment>
  </commentList>
</comments>
</file>

<file path=xl/sharedStrings.xml><?xml version="1.0" encoding="utf-8"?>
<sst xmlns="http://schemas.openxmlformats.org/spreadsheetml/2006/main" count="133" uniqueCount="103">
  <si>
    <t xml:space="preserve">Activités </t>
  </si>
  <si>
    <t xml:space="preserve">Quantité </t>
  </si>
  <si>
    <t>Jours/unites</t>
  </si>
  <si>
    <t>recommended days (4)</t>
  </si>
  <si>
    <t>PU</t>
  </si>
  <si>
    <t>Montant</t>
  </si>
  <si>
    <t>Amount in USD</t>
  </si>
  <si>
    <t>Commentaires</t>
  </si>
  <si>
    <t>I. Recensement (Listing)</t>
  </si>
  <si>
    <t>4 jours</t>
  </si>
  <si>
    <t xml:space="preserve">Pause cafe pour formation technique recensement des ménages </t>
  </si>
  <si>
    <t>Formation d'une journée pour 15 participants (10 Enquêteurs, 2 superviseurs et 3??  formateurs)</t>
  </si>
  <si>
    <t xml:space="preserve"> - chiffres a confirmer, a confirmer aussi si les memes enqueteurs vont faire le listing et la collecte? a discuter.</t>
  </si>
  <si>
    <t>Perdiems des agents recenseurs pour la collecte des données</t>
  </si>
  <si>
    <t xml:space="preserve">Perdiems de 45 000 par agents pour 10 agents recenseurs pendants 7 jours </t>
  </si>
  <si>
    <t>en effet, si possible de diminuer les jours? mais aussi dans les commentaires 45 000, bien que vous avez mis 50 000 ici?</t>
  </si>
  <si>
    <t>Perdiems des superviseurs pour la collecte des données</t>
  </si>
  <si>
    <t xml:space="preserve">Frais de location de motos et carburant </t>
  </si>
  <si>
    <t>Idem qu'avant</t>
  </si>
  <si>
    <t>Total recensement</t>
  </si>
  <si>
    <t>II. Collecte Face to Face</t>
  </si>
  <si>
    <t>II.1. Formation technique sur rCARI</t>
  </si>
  <si>
    <t xml:space="preserve">Perdiem participants </t>
  </si>
  <si>
    <t>10 enquêteurs et 2 superviseurs pendants 5 jours pour 45 000 par jour</t>
  </si>
  <si>
    <t>4 jours suffise, s'ils sont deja habitue a la collecte de donnees</t>
  </si>
  <si>
    <t xml:space="preserve">Frais de transports participants </t>
  </si>
  <si>
    <t>il faut revoir le montant par jour SVP</t>
  </si>
  <si>
    <t xml:space="preserve">Pause café </t>
  </si>
  <si>
    <t>20 participants pendants 5 jours de formations</t>
  </si>
  <si>
    <t>y compris 2 staff du CO, 1 de RBD, 3 staff du siege?</t>
  </si>
  <si>
    <t xml:space="preserve">Pause dejeuner </t>
  </si>
  <si>
    <t>Eau dans la salle</t>
  </si>
  <si>
    <t>3 bidons pour les 12 participants par jour et pendant 5 jours</t>
  </si>
  <si>
    <t>Location de salle</t>
  </si>
  <si>
    <t>Total Formation</t>
  </si>
  <si>
    <t xml:space="preserve">veuillez inclure: les stylos, les carnets, 1 flipchart, quelques marquers
frais de transport pour le partie pratique </t>
  </si>
  <si>
    <t xml:space="preserve">II.2. Collecte des données en Face à face </t>
  </si>
  <si>
    <t>Frais de location de motos et carburant (y compris la communication)</t>
  </si>
  <si>
    <t>communication - frais de communication? Comment ils vont envoyer les enquetes au serveur?</t>
  </si>
  <si>
    <t>Total collecte terrain</t>
  </si>
  <si>
    <t>Total collecte F2F</t>
  </si>
  <si>
    <t xml:space="preserve"> je vous suggere aussi d'inclure les imprevus (un peu)</t>
  </si>
  <si>
    <t>Total recensement + F2F</t>
  </si>
  <si>
    <t>what is the location exactly? - -Zingiare?</t>
  </si>
  <si>
    <t>un bus pour un jour pour le partie pratique</t>
  </si>
  <si>
    <t>Total enq</t>
  </si>
  <si>
    <t>Enq</t>
  </si>
  <si>
    <t>enq/jour</t>
  </si>
  <si>
    <t>jours</t>
  </si>
  <si>
    <t>Formation technique sur rCARI</t>
  </si>
  <si>
    <t>10 enquêteurs et 2 superviseurs pendants 5 jours pour 40 000 par jour</t>
  </si>
  <si>
    <t>reduire de 5 a 2-4 jours (parti du contrat) 2 jours si apart, 3-4</t>
  </si>
  <si>
    <t>10 enquêteurs et 2 superviseurs transport aller -retour</t>
  </si>
  <si>
    <t>3 bidons pour les20 participants par jour et pendant 5 jours</t>
  </si>
  <si>
    <t xml:space="preserve">Location de salle </t>
  </si>
  <si>
    <t>veuillez inclure: les stylos, les carnets, 1 flipchart, quelques marquers</t>
  </si>
  <si>
    <t>Collecte des données en remote - call centre</t>
  </si>
  <si>
    <t xml:space="preserve">Couts de de la collecte pour le call center </t>
  </si>
  <si>
    <t>5 000 par formulaires et 600 formulaires à renseigner</t>
  </si>
  <si>
    <t xml:space="preserve">incentive pour les participants, nous avons dit, non, correct?
verification de qualite - enregistrement </t>
  </si>
  <si>
    <t xml:space="preserve">Total </t>
  </si>
  <si>
    <t>outside Ougadougou? - better to keep it in Ouga</t>
  </si>
  <si>
    <t>formation remote au bureau du PAM??</t>
  </si>
  <si>
    <t>Activity</t>
  </si>
  <si>
    <t>Number of days</t>
  </si>
  <si>
    <t>July</t>
  </si>
  <si>
    <t>August</t>
  </si>
  <si>
    <t>Deadline/status</t>
  </si>
  <si>
    <t>Responsible</t>
  </si>
  <si>
    <t>Village sampling (Admin 5)</t>
  </si>
  <si>
    <t>-</t>
  </si>
  <si>
    <t>Done</t>
  </si>
  <si>
    <t>CO(KABRE Moumouni)</t>
  </si>
  <si>
    <t>Recruitment of interviewers (TPM)</t>
  </si>
  <si>
    <t>Design of census questionnaire</t>
  </si>
  <si>
    <t>CO(Moro DABRE, KABRE Moumouni)</t>
  </si>
  <si>
    <t>veuillez voir le document ici (le questionnare est designe par le siege, et vous allez faire le contextualisation)</t>
  </si>
  <si>
    <t>Briefing of enumerators</t>
  </si>
  <si>
    <t>CO(KABRE Moumouni, Faroukou GARBA)</t>
  </si>
  <si>
    <t>a voir les dates en generale - est-ce qu'ils sont correctes?</t>
  </si>
  <si>
    <t>Data collection for household census</t>
  </si>
  <si>
    <t>Enquêteurs (TPM)</t>
  </si>
  <si>
    <t>Processing and cleaning of census data</t>
  </si>
  <si>
    <t xml:space="preserve">Sampling at Household level </t>
  </si>
  <si>
    <t>le role d'Alirah</t>
  </si>
  <si>
    <t xml:space="preserve">Training of staff (TPM et Call Center) </t>
  </si>
  <si>
    <t>Faroukou and Alirah</t>
  </si>
  <si>
    <t xml:space="preserve">4 jours de formation - et 2 a part - un pour le parti F2F &amp; un pour le parti remote; CARE - gender assessment </t>
  </si>
  <si>
    <t xml:space="preserve">Field data collect for rCARI </t>
  </si>
  <si>
    <t xml:space="preserve">Call Center and TPM </t>
  </si>
  <si>
    <t xml:space="preserve">Data processing </t>
  </si>
  <si>
    <t>le role du siege</t>
  </si>
  <si>
    <t>rCARI data collection workshop</t>
  </si>
  <si>
    <t>WFP , Call Center , TPM</t>
  </si>
  <si>
    <t>pourquoi?</t>
  </si>
  <si>
    <t xml:space="preserve">Data analysis </t>
  </si>
  <si>
    <t xml:space="preserve">Reporting </t>
  </si>
  <si>
    <t xml:space="preserve">Sharing report/dissimination </t>
  </si>
  <si>
    <t>CO and HQ</t>
  </si>
  <si>
    <t xml:space="preserve">Gender from CO Burkina Faso </t>
  </si>
  <si>
    <t>Si oui, on va partager l'info (villages, timeline)</t>
  </si>
  <si>
    <t xml:space="preserve">MOU - TPM National NGO - F2F </t>
  </si>
  <si>
    <t>Call Center ADECONTACT? - remote (since 2020) - CFM, mVAM, FSOM, mPDMs - recording &amp; 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</si>
</sst>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\ _€_-;\-* #,##0\ _€_-;_-* &quot;-&quot;\ _€_-;_-@_-"/>
    <numFmt numFmtId="167" formatCode="_-* #,##0_-;\-* #,##0_-;_-* &quot;-&quot;??_-;_-@_-"/>
    <numFmt numFmtId="168" formatCode="_-[$$-409]* #,##0.00_ ;_-[$$-409]* \-#,##0.00\ ;_-[$$-409]* &quot;-&quot;??_ ;_-@_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/>
    <xf numFmtId="166" fontId="1" fillId="3" borderId="1" xfId="0" applyNumberFormat="1" applyFont="1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167" fontId="2" fillId="2" borderId="1" xfId="1" applyNumberFormat="1" applyFont="1" applyFill="1" applyBorder="1" applyAlignment="1">
      <alignment vertical="center"/>
    </xf>
    <xf numFmtId="167" fontId="1" fillId="3" borderId="1" xfId="1" applyNumberFormat="1" applyFont="1" applyFill="1" applyBorder="1"/>
    <xf numFmtId="167" fontId="0" fillId="0" borderId="0" xfId="1" applyNumberFormat="1" applyFont="1"/>
    <xf numFmtId="0" fontId="0" fillId="0" borderId="0" xfId="0" applyAlignment="1">
      <alignment vertical="center"/>
    </xf>
    <xf numFmtId="167" fontId="0" fillId="0" borderId="1" xfId="1" applyNumberFormat="1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vertical="center"/>
    </xf>
    <xf numFmtId="167" fontId="7" fillId="0" borderId="1" xfId="1" applyNumberFormat="1" applyFont="1" applyFill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1" fillId="5" borderId="1" xfId="0" applyFont="1" applyFill="1" applyBorder="1" applyAlignment="1">
      <alignment vertical="center"/>
    </xf>
    <xf numFmtId="167" fontId="1" fillId="5" borderId="1" xfId="1" applyNumberFormat="1" applyFont="1" applyFill="1" applyBorder="1" applyAlignment="1">
      <alignment vertical="center"/>
    </xf>
    <xf numFmtId="166" fontId="1" fillId="5" borderId="1" xfId="0" applyNumberFormat="1" applyFont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167" fontId="7" fillId="6" borderId="1" xfId="1" applyNumberFormat="1" applyFont="1" applyFill="1" applyBorder="1" applyAlignment="1">
      <alignment vertical="center"/>
    </xf>
    <xf numFmtId="166" fontId="8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wrapText="1"/>
    </xf>
    <xf numFmtId="0" fontId="1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4" borderId="1" xfId="0" applyFont="1" applyFill="1" applyBorder="1"/>
    <xf numFmtId="0" fontId="0" fillId="4" borderId="0" xfId="0" applyFill="1"/>
    <xf numFmtId="168" fontId="0" fillId="4" borderId="1" xfId="2" applyNumberFormat="1" applyFont="1" applyFill="1" applyBorder="1" applyAlignment="1">
      <alignment wrapText="1"/>
    </xf>
    <xf numFmtId="166" fontId="8" fillId="4" borderId="1" xfId="0" applyNumberFormat="1" applyFont="1" applyFill="1" applyBorder="1" applyAlignment="1">
      <alignment vertical="center"/>
    </xf>
    <xf numFmtId="166" fontId="0" fillId="4" borderId="1" xfId="0" applyNumberForma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 wrapText="1"/>
    </xf>
    <xf numFmtId="167" fontId="2" fillId="2" borderId="2" xfId="1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167" fontId="0" fillId="0" borderId="1" xfId="1" applyNumberFormat="1" applyFont="1" applyFill="1" applyBorder="1"/>
    <xf numFmtId="0" fontId="0" fillId="4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/>
    </xf>
    <xf numFmtId="167" fontId="7" fillId="8" borderId="1" xfId="1" applyNumberFormat="1" applyFont="1" applyFill="1" applyBorder="1" applyAlignment="1">
      <alignment vertical="center"/>
    </xf>
    <xf numFmtId="166" fontId="8" fillId="8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67" fontId="1" fillId="0" borderId="0" xfId="1" applyNumberFormat="1" applyFont="1" applyAlignment="1">
      <alignment horizontal="center"/>
    </xf>
    <xf numFmtId="167" fontId="0" fillId="4" borderId="1" xfId="1" applyNumberFormat="1" applyFont="1" applyFill="1" applyBorder="1"/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4" borderId="0" xfId="0" applyFont="1" applyFill="1" applyAlignment="1">
      <alignment wrapText="1"/>
    </xf>
    <xf numFmtId="0" fontId="9" fillId="0" borderId="0" xfId="0" applyFont="1"/>
    <xf numFmtId="0" fontId="9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/>
    </xf>
    <xf numFmtId="167" fontId="9" fillId="7" borderId="1" xfId="1" applyNumberFormat="1" applyFont="1" applyFill="1" applyBorder="1" applyAlignment="1">
      <alignment vertical="center"/>
    </xf>
    <xf numFmtId="166" fontId="10" fillId="7" borderId="1" xfId="0" applyNumberFormat="1" applyFont="1" applyFill="1" applyBorder="1" applyAlignment="1">
      <alignment vertical="center"/>
    </xf>
    <xf numFmtId="166" fontId="9" fillId="7" borderId="1" xfId="0" applyNumberFormat="1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7" fillId="9" borderId="1" xfId="0" applyFont="1" applyFill="1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rah WEYORI" id="{C0A5EFD4-24AC-4C8F-B60C-A86B5B9BC7AE}" userId="alirah.weyori@wfp.org" providerId="PeoplePicker"/>
  <person displayName="Faroukou GARBA" id="{0E1FFA98-6AC0-4D09-9273-D0AAB59CF0B9}" userId="faroukou.garba@wfp.org" providerId="PeoplePicker"/>
  <person displayName="Cassandra WALKER" id="{DA2A5F3E-62E3-4810-869A-85A5C8E672B4}" userId="cassandra.walker@wfp.org" providerId="PeoplePicker"/>
  <person displayName="Alirah WEYORI" id="{C74D2325-005A-4AF4-914D-A797295110C7}" userId="S::alirah.weyori@wfp.org::1c7cbaa8-91f0-4806-8632-e4be5028c1b4" providerId="AD"/>
  <person displayName="Faroukou GARBA" id="{06E7B920-3760-47C9-BB64-99262AC3D76F}" userId="S::faroukou.garba@wfp.org::2b5bf7b1-8680-4269-acee-7e742be6afea" providerId="AD"/>
  <person displayName="Cassandra WALKER" id="{17924EB4-7AE2-47D8-A467-FDDE3E2D6EF5}" userId="S::cassandra.walker@wfp.org::7d551a76-2a3b-46ce-9612-27f9694a03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07-24T15:22:17.02" personId="{C74D2325-005A-4AF4-914D-A797295110C7}" id="{869B2F64-766F-489A-B51B-9C4E82F39C48}">
    <text>@Cassandra WALKER I will recommend the following days for the training and listing of HH. It will have to be cleared whether same enumerators doing the listing will also do the actual survey</text>
    <mentions>
      <mention mentionpersonId="{DA2A5F3E-62E3-4810-869A-85A5C8E672B4}" mentionId="{DF8C2A5D-E0E3-4AA3-ADFA-8DDEA54746D3}" startIndex="0" length="17"/>
    </mentions>
  </threadedComment>
  <threadedComment ref="I3" dT="2023-07-25T10:42:32.48" personId="{17924EB4-7AE2-47D8-A467-FDDE3E2D6EF5}" id="{0F21D023-95EB-44AB-8647-0F8F0DAF92AA}">
    <text>@Alirah WEYORI do you think that 1 day 'training' is necessary for the listing, including coffee break? I guess it is cheap, but not sure it is necessary? Also, would you (or should we) plan to be there for that?)</text>
    <mentions>
      <mention mentionpersonId="{C0A5EFD4-24AC-4C8F-B60C-A86B5B9BC7AE}" mentionId="{7A0828AF-AE72-452E-8381-C345D08C8755}" startIndex="0" length="14"/>
    </mentions>
  </threadedComment>
  <threadedComment ref="A12" dT="2023-07-24T15:27:26.37" personId="{C74D2325-005A-4AF4-914D-A797295110C7}" id="{F16A1A00-6E5B-41EB-B5F3-21CC7B32BBD3}">
    <text>Is it not possible to have lunch and coffee break as part of the package when renting the Hall that we would use for the training? Usually, I think this is included in the package. I don't know if this is different in BF. @Faroukou GARBA</text>
    <mentions>
      <mention mentionpersonId="{0E1FFA98-6AC0-4D09-9273-D0AAB59CF0B9}" mentionId="{18CF4B71-F750-4A93-B97E-ACCD1D1CE05E}" startIndex="222" length="15"/>
    </mentions>
  </threadedComment>
  <threadedComment ref="A12" dT="2023-07-24T15:59:19.42" personId="{06E7B920-3760-47C9-BB64-99262AC3D76F}" id="{CFEAC58B-27BE-4427-92E1-4B35DA736A64}" parentId="{F16A1A00-6E5B-41EB-B5F3-21CC7B32BBD3}">
    <text xml:space="preserve">Alirah In Burkina Faso the two elements are always separate. Coffee break is not part of the workshop room renting fees.  </text>
  </threadedComment>
  <threadedComment ref="B14" dT="2023-07-24T15:20:38.22" personId="{C74D2325-005A-4AF4-914D-A797295110C7}" id="{5B0B0A17-7C80-4C29-87BA-6C52ED4FDBFE}">
    <text>We would need just one room for both F2F and remote training. Should be possible to combine them just like we did in CAR</text>
  </threadedComment>
  <threadedComment ref="B14" dT="2023-07-25T10:48:35.33" personId="{17924EB4-7AE2-47D8-A467-FDDE3E2D6EF5}" id="{D7BA307F-387E-42DD-8698-9D171B448AEB}" parentId="{5B0B0A17-7C80-4C29-87BA-6C52ED4FDBFE}">
    <text>Agreed, but depends on Geopol, right? we should discuss with Farouku and probably also include Jonas directly in the discussions?</text>
  </threadedComment>
  <threadedComment ref="C18" dT="2023-07-24T15:23:53.40" personId="{C74D2325-005A-4AF4-914D-A797295110C7}" id="{FBFE6001-F36B-4C6F-AADF-99CB38DB3EC5}">
    <text>@Cassandra WALKER @Faroukou GARBA, 7 days for the actual survey?? Is this realistic?? How many questionnaires do enumerators administer per da??</text>
    <mentions>
      <mention mentionpersonId="{DA2A5F3E-62E3-4810-869A-85A5C8E672B4}" mentionId="{1D785069-61AB-4B5C-A640-178C916810F9}" startIndex="0" length="17"/>
      <mention mentionpersonId="{0E1FFA98-6AC0-4D09-9273-D0AAB59CF0B9}" mentionId="{0DDEF014-AACC-41EF-B0AA-7AFAAAD6DA62}" startIndex="18" length="15"/>
    </mentions>
  </threadedComment>
  <threadedComment ref="C18" dT="2023-07-25T10:51:58.02" personId="{17924EB4-7AE2-47D8-A467-FDDE3E2D6EF5}" id="{63ECD160-15CD-468B-9880-B157890D0C44}" parentId="{FBFE6001-F36B-4C6F-AADF-99CB38DB3EC5}">
    <text>remind me again, what is our realistic goal, we said 8 min for remote, but F2F, how many per day?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" dT="2023-07-11T14:44:11.06" personId="{17924EB4-7AE2-47D8-A467-FDDE3E2D6EF5}" id="{018FB36E-5B54-4B51-BC51-5FAFC0977BA3}">
    <text>contextualisation of the census questionnaire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4232-D887-4FFE-9F0B-2B345ADA3D1F}">
  <dimension ref="A1:J28"/>
  <sheetViews>
    <sheetView workbookViewId="0">
      <selection activeCell="A20" sqref="A20"/>
    </sheetView>
  </sheetViews>
  <sheetFormatPr defaultColWidth="11.42578125" defaultRowHeight="14.45"/>
  <cols>
    <col min="1" max="1" width="51.28515625" customWidth="1"/>
    <col min="4" max="4" width="14.140625" style="49" customWidth="1"/>
    <col min="5" max="5" width="11.42578125" style="25"/>
    <col min="6" max="6" width="18.42578125" customWidth="1"/>
    <col min="7" max="8" width="19.85546875" style="26" customWidth="1"/>
    <col min="9" max="9" width="63.85546875" style="21" customWidth="1"/>
    <col min="10" max="10" width="58.140625" customWidth="1"/>
  </cols>
  <sheetData>
    <row r="1" spans="1:10" ht="30.75">
      <c r="A1" s="53" t="s">
        <v>0</v>
      </c>
      <c r="B1" s="53" t="s">
        <v>1</v>
      </c>
      <c r="C1" s="53" t="s">
        <v>2</v>
      </c>
      <c r="D1" s="54" t="s">
        <v>3</v>
      </c>
      <c r="E1" s="55" t="s">
        <v>4</v>
      </c>
      <c r="F1" s="53" t="s">
        <v>5</v>
      </c>
      <c r="G1" s="53" t="s">
        <v>6</v>
      </c>
      <c r="H1" s="53"/>
      <c r="I1" s="56" t="s">
        <v>7</v>
      </c>
    </row>
    <row r="2" spans="1:10" ht="15">
      <c r="A2" s="69" t="s">
        <v>8</v>
      </c>
      <c r="B2" s="70"/>
      <c r="C2" s="70"/>
      <c r="D2" s="70"/>
      <c r="E2" s="70"/>
      <c r="F2" s="70"/>
      <c r="G2" s="70"/>
      <c r="H2" s="71"/>
      <c r="I2" s="38" t="s">
        <v>9</v>
      </c>
    </row>
    <row r="3" spans="1:10" ht="30.75">
      <c r="A3" s="8" t="s">
        <v>10</v>
      </c>
      <c r="B3" s="29">
        <v>15</v>
      </c>
      <c r="C3" s="29">
        <v>1</v>
      </c>
      <c r="D3" s="46">
        <v>1</v>
      </c>
      <c r="E3" s="30">
        <v>7000</v>
      </c>
      <c r="F3" s="31">
        <f>E3*B3*C3</f>
        <v>105000</v>
      </c>
      <c r="G3" s="32">
        <f>F3/590</f>
        <v>177.96610169491527</v>
      </c>
      <c r="H3" s="32"/>
      <c r="I3" s="18" t="s">
        <v>11</v>
      </c>
      <c r="J3" s="57" t="s">
        <v>12</v>
      </c>
    </row>
    <row r="4" spans="1:10" s="22" customFormat="1" ht="45.75">
      <c r="A4" s="8" t="s">
        <v>13</v>
      </c>
      <c r="B4" s="29">
        <v>10</v>
      </c>
      <c r="C4" s="29">
        <v>7</v>
      </c>
      <c r="D4" s="46">
        <v>4</v>
      </c>
      <c r="E4" s="30">
        <v>50000</v>
      </c>
      <c r="F4" s="31">
        <f t="shared" ref="F4:F6" si="0">E4*B4*C4</f>
        <v>3500000</v>
      </c>
      <c r="G4" s="32">
        <f t="shared" ref="G4:G6" si="1">F4/590</f>
        <v>5932.2033898305081</v>
      </c>
      <c r="H4" s="32">
        <f>+B4*D4*E4</f>
        <v>2000000</v>
      </c>
      <c r="I4" s="33" t="s">
        <v>14</v>
      </c>
      <c r="J4" s="57" t="s">
        <v>15</v>
      </c>
    </row>
    <row r="5" spans="1:10" s="22" customFormat="1">
      <c r="A5" s="8" t="s">
        <v>16</v>
      </c>
      <c r="B5" s="29">
        <v>2</v>
      </c>
      <c r="C5" s="29">
        <v>7</v>
      </c>
      <c r="D5" s="46">
        <v>4</v>
      </c>
      <c r="E5" s="30">
        <v>60000</v>
      </c>
      <c r="F5" s="31">
        <f t="shared" si="0"/>
        <v>840000</v>
      </c>
      <c r="G5" s="32">
        <f t="shared" si="1"/>
        <v>1423.7288135593221</v>
      </c>
      <c r="H5" s="32">
        <f t="shared" ref="H5:H7" si="2">+B5*D5*E5</f>
        <v>480000</v>
      </c>
      <c r="I5" s="34"/>
    </row>
    <row r="6" spans="1:10" ht="15">
      <c r="A6" s="8" t="s">
        <v>17</v>
      </c>
      <c r="B6" s="29">
        <f>10+2</f>
        <v>12</v>
      </c>
      <c r="C6" s="29">
        <v>7</v>
      </c>
      <c r="D6" s="46">
        <v>4</v>
      </c>
      <c r="E6" s="30">
        <v>20000</v>
      </c>
      <c r="F6" s="31">
        <f>E6*B6*C6</f>
        <v>1680000</v>
      </c>
      <c r="G6" s="32">
        <f t="shared" si="1"/>
        <v>2847.4576271186443</v>
      </c>
      <c r="H6" s="32">
        <f t="shared" si="2"/>
        <v>960000</v>
      </c>
      <c r="I6" s="33" t="s">
        <v>18</v>
      </c>
    </row>
    <row r="7" spans="1:10">
      <c r="A7" s="40" t="s">
        <v>19</v>
      </c>
      <c r="B7" s="41"/>
      <c r="C7" s="41"/>
      <c r="D7" s="46"/>
      <c r="E7" s="42"/>
      <c r="F7" s="43">
        <f>SUM(F3:F6)</f>
        <v>6125000</v>
      </c>
      <c r="G7" s="43">
        <f>SUM(G3:G6)</f>
        <v>10381.355932203391</v>
      </c>
      <c r="H7" s="32">
        <f>H6+H5+H3+F3+H4</f>
        <v>3545000</v>
      </c>
      <c r="I7" s="50">
        <f>+H7/590</f>
        <v>6008.4745762711864</v>
      </c>
    </row>
    <row r="8" spans="1:10" ht="15">
      <c r="A8" s="69" t="s">
        <v>20</v>
      </c>
      <c r="B8" s="70"/>
      <c r="C8" s="70"/>
      <c r="D8" s="70"/>
      <c r="E8" s="70"/>
      <c r="F8" s="70"/>
      <c r="G8" s="70"/>
      <c r="H8" s="71"/>
      <c r="I8" s="38"/>
    </row>
    <row r="9" spans="1:10" ht="15">
      <c r="A9" s="69" t="s">
        <v>21</v>
      </c>
      <c r="B9" s="70"/>
      <c r="C9" s="70"/>
      <c r="D9" s="70"/>
      <c r="E9" s="70"/>
      <c r="F9" s="70">
        <f>E9*B9</f>
        <v>0</v>
      </c>
      <c r="G9" s="70">
        <f t="shared" ref="G9" si="3">F9*E9</f>
        <v>0</v>
      </c>
      <c r="H9" s="71"/>
      <c r="I9" s="38"/>
    </row>
    <row r="10" spans="1:10" ht="20.100000000000001" customHeight="1">
      <c r="A10" s="8" t="s">
        <v>22</v>
      </c>
      <c r="B10" s="11">
        <f>10+2</f>
        <v>12</v>
      </c>
      <c r="C10" s="11">
        <v>5</v>
      </c>
      <c r="D10" s="47">
        <v>4</v>
      </c>
      <c r="E10" s="27">
        <v>40000</v>
      </c>
      <c r="F10" s="31">
        <f>E10*B10*C10</f>
        <v>2400000</v>
      </c>
      <c r="G10" s="28">
        <f t="shared" ref="G10:G20" si="4">F10/590</f>
        <v>4067.7966101694915</v>
      </c>
      <c r="H10" s="28">
        <f>+D10*B10*E10</f>
        <v>1920000</v>
      </c>
      <c r="I10" s="8" t="s">
        <v>23</v>
      </c>
      <c r="J10" s="22" t="s">
        <v>24</v>
      </c>
    </row>
    <row r="11" spans="1:10" ht="18.600000000000001" customHeight="1">
      <c r="A11" s="8" t="s">
        <v>25</v>
      </c>
      <c r="B11" s="11">
        <f>+B10</f>
        <v>12</v>
      </c>
      <c r="C11" s="11">
        <v>1</v>
      </c>
      <c r="D11" s="11">
        <v>1</v>
      </c>
      <c r="E11" s="27">
        <v>20000</v>
      </c>
      <c r="F11" s="31">
        <f t="shared" ref="F11:F15" si="5">E11*B11*C11</f>
        <v>240000</v>
      </c>
      <c r="G11" s="28">
        <f t="shared" si="4"/>
        <v>406.77966101694915</v>
      </c>
      <c r="H11" s="28">
        <f t="shared" ref="H11:H15" si="6">+D11*B11*E11</f>
        <v>240000</v>
      </c>
      <c r="I11" s="59" t="s">
        <v>23</v>
      </c>
      <c r="J11" s="22" t="s">
        <v>26</v>
      </c>
    </row>
    <row r="12" spans="1:10" ht="15">
      <c r="A12" s="8" t="s">
        <v>27</v>
      </c>
      <c r="B12" s="11">
        <v>20</v>
      </c>
      <c r="C12" s="11">
        <v>5</v>
      </c>
      <c r="D12" s="11">
        <v>4</v>
      </c>
      <c r="E12" s="27">
        <v>7000</v>
      </c>
      <c r="F12" s="31">
        <f t="shared" si="5"/>
        <v>700000</v>
      </c>
      <c r="G12" s="28">
        <f t="shared" si="4"/>
        <v>1186.4406779661017</v>
      </c>
      <c r="H12" s="28">
        <f t="shared" si="6"/>
        <v>560000</v>
      </c>
      <c r="I12" s="33" t="s">
        <v>28</v>
      </c>
      <c r="J12" s="22" t="s">
        <v>29</v>
      </c>
    </row>
    <row r="13" spans="1:10">
      <c r="A13" s="8" t="s">
        <v>30</v>
      </c>
      <c r="B13" s="11">
        <f>+B12</f>
        <v>20</v>
      </c>
      <c r="C13" s="11">
        <f>+C12</f>
        <v>5</v>
      </c>
      <c r="D13" s="11">
        <v>4</v>
      </c>
      <c r="E13" s="27">
        <v>12000</v>
      </c>
      <c r="F13" s="31">
        <f t="shared" si="5"/>
        <v>1200000</v>
      </c>
      <c r="G13" s="28">
        <f t="shared" si="4"/>
        <v>2033.8983050847457</v>
      </c>
      <c r="H13" s="28">
        <f t="shared" si="6"/>
        <v>960000</v>
      </c>
      <c r="I13" s="33" t="s">
        <v>28</v>
      </c>
    </row>
    <row r="14" spans="1:10">
      <c r="A14" s="8" t="s">
        <v>31</v>
      </c>
      <c r="B14" s="11">
        <f>20*3</f>
        <v>60</v>
      </c>
      <c r="C14" s="11">
        <v>5</v>
      </c>
      <c r="D14" s="11">
        <v>4</v>
      </c>
      <c r="E14" s="27">
        <v>1000</v>
      </c>
      <c r="F14" s="31">
        <f t="shared" si="5"/>
        <v>300000</v>
      </c>
      <c r="G14" s="28">
        <f t="shared" si="4"/>
        <v>508.47457627118644</v>
      </c>
      <c r="H14" s="28">
        <f t="shared" si="6"/>
        <v>240000</v>
      </c>
      <c r="I14" s="33" t="s">
        <v>32</v>
      </c>
    </row>
    <row r="15" spans="1:10">
      <c r="A15" s="8" t="s">
        <v>33</v>
      </c>
      <c r="B15" s="11">
        <v>1</v>
      </c>
      <c r="C15" s="11">
        <v>5</v>
      </c>
      <c r="D15" s="11">
        <v>4</v>
      </c>
      <c r="E15" s="58">
        <v>200000</v>
      </c>
      <c r="F15" s="31">
        <f t="shared" si="5"/>
        <v>1000000</v>
      </c>
      <c r="G15" s="28">
        <f t="shared" si="4"/>
        <v>1694.9152542372881</v>
      </c>
      <c r="H15" s="28">
        <f t="shared" si="6"/>
        <v>800000</v>
      </c>
      <c r="I15" s="33"/>
    </row>
    <row r="16" spans="1:10" ht="45.75">
      <c r="A16" s="40" t="s">
        <v>34</v>
      </c>
      <c r="B16" s="41"/>
      <c r="C16" s="41"/>
      <c r="D16" s="46"/>
      <c r="E16" s="42"/>
      <c r="F16" s="43">
        <f>SUM(F10:F15)</f>
        <v>5840000</v>
      </c>
      <c r="G16" s="43">
        <f>F16/590</f>
        <v>9898.3050847457635</v>
      </c>
      <c r="H16" s="43">
        <f>SUM(H10:H15)</f>
        <v>4720000</v>
      </c>
      <c r="I16" s="50">
        <f>+H16/590</f>
        <v>8000</v>
      </c>
      <c r="J16" s="57" t="s">
        <v>35</v>
      </c>
    </row>
    <row r="17" spans="1:10" ht="15">
      <c r="A17" s="69" t="s">
        <v>36</v>
      </c>
      <c r="B17" s="70"/>
      <c r="C17" s="70"/>
      <c r="D17" s="70"/>
      <c r="E17" s="70"/>
      <c r="F17" s="70"/>
      <c r="G17" s="70"/>
      <c r="H17" s="71"/>
      <c r="I17" s="38"/>
    </row>
    <row r="18" spans="1:10" ht="31.5" customHeight="1">
      <c r="A18" s="8" t="s">
        <v>13</v>
      </c>
      <c r="B18" s="85">
        <f>10</f>
        <v>10</v>
      </c>
      <c r="C18" s="85">
        <v>7</v>
      </c>
      <c r="D18" s="47"/>
      <c r="E18" s="27">
        <v>50000</v>
      </c>
      <c r="F18" s="31">
        <f>E18*B18*C18</f>
        <v>3500000</v>
      </c>
      <c r="G18" s="28">
        <f t="shared" si="4"/>
        <v>5932.2033898305081</v>
      </c>
      <c r="H18" s="28"/>
      <c r="I18" s="8"/>
    </row>
    <row r="19" spans="1:10">
      <c r="A19" s="8" t="s">
        <v>16</v>
      </c>
      <c r="B19" s="86">
        <v>2</v>
      </c>
      <c r="C19" s="86">
        <v>7</v>
      </c>
      <c r="D19" s="46"/>
      <c r="E19" s="30">
        <v>60000</v>
      </c>
      <c r="F19" s="31">
        <f t="shared" ref="F19:F20" si="7">E19*B19*C19</f>
        <v>840000</v>
      </c>
      <c r="G19" s="28">
        <f t="shared" si="4"/>
        <v>1423.7288135593221</v>
      </c>
      <c r="H19" s="28"/>
      <c r="I19" s="33"/>
    </row>
    <row r="20" spans="1:10" ht="30.75">
      <c r="A20" s="8" t="s">
        <v>37</v>
      </c>
      <c r="B20" s="85">
        <f>SUM(B18:B19)</f>
        <v>12</v>
      </c>
      <c r="C20" s="85">
        <f>+C18</f>
        <v>7</v>
      </c>
      <c r="D20" s="47"/>
      <c r="E20" s="27">
        <v>25000</v>
      </c>
      <c r="F20" s="31">
        <f t="shared" si="7"/>
        <v>2100000</v>
      </c>
      <c r="G20" s="28">
        <f t="shared" si="4"/>
        <v>3559.3220338983051</v>
      </c>
      <c r="H20" s="28"/>
      <c r="I20" s="33"/>
      <c r="J20" s="57" t="s">
        <v>38</v>
      </c>
    </row>
    <row r="21" spans="1:10" ht="15">
      <c r="A21" s="40" t="s">
        <v>39</v>
      </c>
      <c r="B21" s="41"/>
      <c r="C21" s="41"/>
      <c r="D21" s="46"/>
      <c r="E21" s="42"/>
      <c r="F21" s="43">
        <f>SUM(F18:F20)</f>
        <v>6440000</v>
      </c>
      <c r="G21" s="43">
        <f>F21/590</f>
        <v>10915.254237288136</v>
      </c>
      <c r="H21" s="43"/>
      <c r="I21" s="44"/>
    </row>
    <row r="22" spans="1:10" ht="15">
      <c r="A22" s="60" t="s">
        <v>40</v>
      </c>
      <c r="B22" s="61"/>
      <c r="C22" s="61"/>
      <c r="D22" s="61"/>
      <c r="E22" s="62"/>
      <c r="F22" s="63">
        <f>+F21+F16</f>
        <v>12280000</v>
      </c>
      <c r="G22" s="63">
        <f>F22/590</f>
        <v>20813.5593220339</v>
      </c>
      <c r="H22" s="63"/>
      <c r="I22" s="64"/>
      <c r="J22" s="57" t="s">
        <v>41</v>
      </c>
    </row>
    <row r="23" spans="1:10">
      <c r="A23" s="14" t="s">
        <v>42</v>
      </c>
      <c r="B23" s="16"/>
      <c r="C23" s="16"/>
      <c r="D23" s="48"/>
      <c r="E23" s="24"/>
      <c r="F23" s="17">
        <f>F21+F16+F7</f>
        <v>18405000</v>
      </c>
      <c r="G23" s="17">
        <f>F23/590</f>
        <v>31194.915254237287</v>
      </c>
      <c r="H23" s="17"/>
      <c r="I23" s="39"/>
    </row>
    <row r="26" spans="1:10">
      <c r="A26" t="s">
        <v>43</v>
      </c>
    </row>
    <row r="27" spans="1:10" ht="15">
      <c r="A27" t="s">
        <v>44</v>
      </c>
      <c r="B27" s="65" t="s">
        <v>45</v>
      </c>
      <c r="C27" s="65" t="s">
        <v>46</v>
      </c>
      <c r="D27" s="66" t="s">
        <v>47</v>
      </c>
      <c r="E27" s="67" t="s">
        <v>48</v>
      </c>
    </row>
    <row r="28" spans="1:10">
      <c r="B28">
        <v>600</v>
      </c>
      <c r="C28">
        <v>10</v>
      </c>
      <c r="D28" s="49">
        <v>5</v>
      </c>
      <c r="E28" s="25">
        <f>B28/C28/D28</f>
        <v>12</v>
      </c>
    </row>
  </sheetData>
  <mergeCells count="4">
    <mergeCell ref="A2:H2"/>
    <mergeCell ref="A8:H8"/>
    <mergeCell ref="A9:H9"/>
    <mergeCell ref="A17:H1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442A-2019-4EA9-952D-090723C5A98A}">
  <dimension ref="A1:J16"/>
  <sheetViews>
    <sheetView tabSelected="1" workbookViewId="0">
      <selection activeCell="J3" sqref="J3"/>
    </sheetView>
  </sheetViews>
  <sheetFormatPr defaultColWidth="11.42578125" defaultRowHeight="15" customHeight="1"/>
  <cols>
    <col min="1" max="1" width="51.28515625" customWidth="1"/>
    <col min="5" max="6" width="11.42578125" style="25"/>
    <col min="7" max="7" width="18.42578125" customWidth="1"/>
    <col min="8" max="8" width="19.85546875" style="26" customWidth="1"/>
    <col min="9" max="9" width="58.85546875" style="21" customWidth="1"/>
    <col min="10" max="10" width="60.7109375" customWidth="1"/>
  </cols>
  <sheetData>
    <row r="1" spans="1:10">
      <c r="A1" s="15" t="s">
        <v>0</v>
      </c>
      <c r="B1" s="15" t="s">
        <v>1</v>
      </c>
      <c r="C1" s="15"/>
      <c r="D1" s="15" t="s">
        <v>2</v>
      </c>
      <c r="E1" s="23" t="s">
        <v>4</v>
      </c>
      <c r="F1" s="23"/>
      <c r="G1" s="15" t="s">
        <v>5</v>
      </c>
      <c r="H1" s="15" t="s">
        <v>6</v>
      </c>
      <c r="I1" s="20" t="s">
        <v>7</v>
      </c>
    </row>
    <row r="2" spans="1:10">
      <c r="A2" s="45" t="s">
        <v>49</v>
      </c>
      <c r="B2" s="35"/>
      <c r="C2" s="35"/>
      <c r="D2" s="35"/>
      <c r="E2" s="36"/>
      <c r="F2" s="36"/>
      <c r="G2" s="37"/>
      <c r="H2" s="37"/>
      <c r="I2" s="38"/>
    </row>
    <row r="3" spans="1:10" s="79" customFormat="1" ht="24" customHeight="1">
      <c r="A3" s="80" t="s">
        <v>22</v>
      </c>
      <c r="B3" s="81">
        <f>10+2</f>
        <v>12</v>
      </c>
      <c r="C3" s="81">
        <v>0</v>
      </c>
      <c r="D3" s="81">
        <v>5</v>
      </c>
      <c r="E3" s="82">
        <v>40000</v>
      </c>
      <c r="F3" s="82">
        <f>B3*C3*E3</f>
        <v>0</v>
      </c>
      <c r="G3" s="83">
        <f>E3*B3*D3</f>
        <v>2400000</v>
      </c>
      <c r="H3" s="84">
        <f>G3/590</f>
        <v>4067.7966101694915</v>
      </c>
      <c r="I3" s="77" t="s">
        <v>50</v>
      </c>
      <c r="J3" s="78" t="s">
        <v>51</v>
      </c>
    </row>
    <row r="4" spans="1:10" s="79" customFormat="1">
      <c r="A4" s="80" t="s">
        <v>25</v>
      </c>
      <c r="B4" s="81">
        <f>+B3</f>
        <v>12</v>
      </c>
      <c r="C4" s="81">
        <v>2</v>
      </c>
      <c r="D4" s="81">
        <v>1</v>
      </c>
      <c r="E4" s="82">
        <v>20000</v>
      </c>
      <c r="F4" s="82">
        <f>B4*C4*E4</f>
        <v>480000</v>
      </c>
      <c r="G4" s="83">
        <f t="shared" ref="G4:G8" si="0">E4*B4*D4</f>
        <v>240000</v>
      </c>
      <c r="H4" s="84">
        <f t="shared" ref="H4:H8" si="1">G4/590</f>
        <v>406.77966101694915</v>
      </c>
      <c r="I4" s="77" t="s">
        <v>52</v>
      </c>
    </row>
    <row r="5" spans="1:10">
      <c r="A5" s="8" t="s">
        <v>27</v>
      </c>
      <c r="B5" s="11">
        <v>20</v>
      </c>
      <c r="C5" s="11">
        <v>2</v>
      </c>
      <c r="D5" s="11">
        <v>5</v>
      </c>
      <c r="E5" s="27">
        <v>7000</v>
      </c>
      <c r="F5" s="82">
        <f>B5*C5*E5</f>
        <v>280000</v>
      </c>
      <c r="G5" s="31">
        <f t="shared" si="0"/>
        <v>700000</v>
      </c>
      <c r="H5" s="28">
        <f t="shared" si="1"/>
        <v>1186.4406779661017</v>
      </c>
      <c r="I5" s="33" t="s">
        <v>28</v>
      </c>
    </row>
    <row r="6" spans="1:10">
      <c r="A6" s="8" t="s">
        <v>30</v>
      </c>
      <c r="B6" s="11">
        <f>+B5</f>
        <v>20</v>
      </c>
      <c r="C6" s="11">
        <v>2</v>
      </c>
      <c r="D6" s="11">
        <f>+D5</f>
        <v>5</v>
      </c>
      <c r="E6" s="27">
        <v>12000</v>
      </c>
      <c r="F6" s="82">
        <f>B6*C6*E6</f>
        <v>480000</v>
      </c>
      <c r="G6" s="31">
        <f t="shared" si="0"/>
        <v>1200000</v>
      </c>
      <c r="H6" s="28">
        <f t="shared" si="1"/>
        <v>2033.8983050847457</v>
      </c>
      <c r="I6" s="33" t="s">
        <v>28</v>
      </c>
    </row>
    <row r="7" spans="1:10">
      <c r="A7" s="8" t="s">
        <v>31</v>
      </c>
      <c r="B7" s="11">
        <f>20*3</f>
        <v>60</v>
      </c>
      <c r="C7" s="11">
        <v>2</v>
      </c>
      <c r="D7" s="11">
        <v>5</v>
      </c>
      <c r="E7" s="27">
        <v>1000</v>
      </c>
      <c r="F7" s="82">
        <f>B7*C7*E7</f>
        <v>120000</v>
      </c>
      <c r="G7" s="31">
        <f t="shared" si="0"/>
        <v>300000</v>
      </c>
      <c r="H7" s="28">
        <f t="shared" si="1"/>
        <v>508.47457627118644</v>
      </c>
      <c r="I7" s="33" t="s">
        <v>53</v>
      </c>
    </row>
    <row r="8" spans="1:10" s="49" customFormat="1">
      <c r="A8" s="59" t="s">
        <v>54</v>
      </c>
      <c r="B8" s="47">
        <v>1</v>
      </c>
      <c r="C8" s="47">
        <v>0</v>
      </c>
      <c r="D8" s="47">
        <v>5</v>
      </c>
      <c r="E8" s="68">
        <v>200000</v>
      </c>
      <c r="F8" s="82">
        <f>B8*C8*E8</f>
        <v>0</v>
      </c>
      <c r="G8" s="51">
        <f t="shared" si="0"/>
        <v>1000000</v>
      </c>
      <c r="H8" s="52">
        <f t="shared" si="1"/>
        <v>1694.9152542372881</v>
      </c>
      <c r="I8" s="18"/>
    </row>
    <row r="9" spans="1:10">
      <c r="A9" s="40" t="s">
        <v>34</v>
      </c>
      <c r="B9" s="41"/>
      <c r="C9" s="41"/>
      <c r="D9" s="41"/>
      <c r="E9" s="42"/>
      <c r="F9" s="82">
        <f>SUM(F3:F8)</f>
        <v>1360000</v>
      </c>
      <c r="G9" s="43">
        <f>SUM(G3:G8)</f>
        <v>5840000</v>
      </c>
      <c r="H9" s="43">
        <f>G9/590</f>
        <v>9898.3050847457635</v>
      </c>
      <c r="I9" s="44"/>
      <c r="J9" s="57" t="s">
        <v>55</v>
      </c>
    </row>
    <row r="10" spans="1:10">
      <c r="A10" s="45" t="s">
        <v>56</v>
      </c>
      <c r="B10" s="35"/>
      <c r="C10" s="35"/>
      <c r="D10" s="35"/>
      <c r="E10" s="36"/>
      <c r="F10" s="82">
        <f>B10*C10*E10</f>
        <v>0</v>
      </c>
      <c r="G10" s="37"/>
      <c r="H10" s="37"/>
      <c r="I10" s="38"/>
    </row>
    <row r="11" spans="1:10" ht="30.75" customHeight="1">
      <c r="A11" s="8" t="s">
        <v>57</v>
      </c>
      <c r="B11" s="11">
        <v>600</v>
      </c>
      <c r="C11" s="11">
        <v>1</v>
      </c>
      <c r="D11" s="11">
        <v>1</v>
      </c>
      <c r="E11" s="27">
        <v>5000</v>
      </c>
      <c r="F11" s="82">
        <f>B11*C11*E11</f>
        <v>3000000</v>
      </c>
      <c r="G11" s="31">
        <f>E11*B11</f>
        <v>3000000</v>
      </c>
      <c r="H11" s="28">
        <f t="shared" ref="H11" si="2">G11/590</f>
        <v>5084.7457627118647</v>
      </c>
      <c r="I11" s="8" t="s">
        <v>58</v>
      </c>
      <c r="J11" s="57" t="s">
        <v>59</v>
      </c>
    </row>
    <row r="12" spans="1:10">
      <c r="A12" s="40" t="s">
        <v>39</v>
      </c>
      <c r="B12" s="41"/>
      <c r="C12" s="41"/>
      <c r="D12" s="41"/>
      <c r="E12" s="42"/>
      <c r="F12" s="42"/>
      <c r="G12" s="43">
        <f>SUM(G11:G11)</f>
        <v>3000000</v>
      </c>
      <c r="H12" s="43">
        <f>G12/590</f>
        <v>5084.7457627118647</v>
      </c>
      <c r="I12" s="44"/>
    </row>
    <row r="13" spans="1:10">
      <c r="A13" s="14" t="s">
        <v>60</v>
      </c>
      <c r="B13" s="16"/>
      <c r="C13" s="16"/>
      <c r="D13" s="16"/>
      <c r="E13" s="24"/>
      <c r="F13" s="24">
        <f>SUM(F3:F12)</f>
        <v>5720000</v>
      </c>
      <c r="G13" s="17">
        <f>+G12+G9</f>
        <v>8840000</v>
      </c>
      <c r="H13" s="17">
        <f>G13/590</f>
        <v>14983.050847457627</v>
      </c>
      <c r="I13" s="39"/>
    </row>
    <row r="15" spans="1:10">
      <c r="A15" s="49" t="s">
        <v>61</v>
      </c>
    </row>
    <row r="16" spans="1:10" ht="15" customHeight="1">
      <c r="A16" s="49" t="s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5B31-6B46-47B2-9A97-2F670FEB3E02}">
  <dimension ref="A1:M23"/>
  <sheetViews>
    <sheetView topLeftCell="A4" workbookViewId="0">
      <selection activeCell="A5" sqref="A5"/>
    </sheetView>
  </sheetViews>
  <sheetFormatPr defaultColWidth="11.42578125" defaultRowHeight="14.45"/>
  <cols>
    <col min="1" max="1" width="43.85546875" customWidth="1"/>
    <col min="2" max="2" width="20.5703125" customWidth="1"/>
    <col min="3" max="10" width="6.140625" customWidth="1"/>
    <col min="11" max="11" width="21" style="1" customWidth="1"/>
    <col min="12" max="12" width="36.7109375" customWidth="1"/>
    <col min="13" max="13" width="78.7109375" style="21" customWidth="1"/>
  </cols>
  <sheetData>
    <row r="1" spans="1:13" ht="21" customHeight="1">
      <c r="A1" s="75" t="s">
        <v>63</v>
      </c>
      <c r="B1" s="76" t="s">
        <v>64</v>
      </c>
      <c r="C1" s="74" t="s">
        <v>65</v>
      </c>
      <c r="D1" s="74"/>
      <c r="E1" s="74"/>
      <c r="F1" s="74"/>
      <c r="G1" s="74" t="s">
        <v>66</v>
      </c>
      <c r="H1" s="74"/>
      <c r="I1" s="74"/>
      <c r="J1" s="74"/>
      <c r="K1" s="73" t="s">
        <v>67</v>
      </c>
      <c r="L1" s="73" t="s">
        <v>68</v>
      </c>
      <c r="M1" s="72" t="s">
        <v>7</v>
      </c>
    </row>
    <row r="2" spans="1:13" ht="21" customHeight="1">
      <c r="A2" s="75"/>
      <c r="B2" s="76"/>
      <c r="C2" s="2">
        <v>1</v>
      </c>
      <c r="D2" s="2">
        <v>2</v>
      </c>
      <c r="E2" s="2">
        <v>3</v>
      </c>
      <c r="F2" s="2">
        <v>4</v>
      </c>
      <c r="G2" s="2">
        <v>1</v>
      </c>
      <c r="H2" s="2">
        <v>2</v>
      </c>
      <c r="I2" s="2">
        <v>3</v>
      </c>
      <c r="J2" s="2">
        <v>4</v>
      </c>
      <c r="K2" s="73"/>
      <c r="L2" s="73"/>
      <c r="M2" s="72"/>
    </row>
    <row r="3" spans="1:13" ht="29.25" customHeight="1">
      <c r="A3" s="3" t="s">
        <v>69</v>
      </c>
      <c r="B3" s="4" t="s">
        <v>70</v>
      </c>
      <c r="C3" s="5"/>
      <c r="D3" s="4"/>
      <c r="E3" s="4"/>
      <c r="F3" s="4"/>
      <c r="G3" s="4"/>
      <c r="H3" s="4"/>
      <c r="I3" s="4"/>
      <c r="J3" s="4"/>
      <c r="K3" s="4" t="s">
        <v>71</v>
      </c>
      <c r="L3" s="3" t="s">
        <v>72</v>
      </c>
      <c r="M3" s="18"/>
    </row>
    <row r="4" spans="1:13" ht="29.25" customHeight="1">
      <c r="A4" s="3" t="s">
        <v>73</v>
      </c>
      <c r="B4" s="4">
        <v>3</v>
      </c>
      <c r="C4" s="5"/>
      <c r="D4" s="5"/>
      <c r="E4" s="4"/>
      <c r="F4" s="4"/>
      <c r="G4" s="4"/>
      <c r="H4" s="4"/>
      <c r="I4" s="4"/>
      <c r="J4" s="4"/>
      <c r="K4" s="6">
        <v>45114</v>
      </c>
      <c r="L4" s="3" t="s">
        <v>72</v>
      </c>
      <c r="M4" s="18"/>
    </row>
    <row r="5" spans="1:13" ht="33" customHeight="1">
      <c r="A5" s="3" t="s">
        <v>74</v>
      </c>
      <c r="B5" s="4">
        <v>3</v>
      </c>
      <c r="C5" s="4"/>
      <c r="D5" s="5"/>
      <c r="E5" s="4"/>
      <c r="F5" s="4"/>
      <c r="G5" s="4"/>
      <c r="H5" s="4"/>
      <c r="I5" s="4"/>
      <c r="J5" s="4"/>
      <c r="K5" s="6">
        <v>45114</v>
      </c>
      <c r="L5" s="3" t="s">
        <v>75</v>
      </c>
      <c r="M5" s="18" t="s">
        <v>76</v>
      </c>
    </row>
    <row r="6" spans="1:13" ht="29.25" customHeight="1">
      <c r="A6" s="3" t="s">
        <v>77</v>
      </c>
      <c r="B6" s="4">
        <v>1</v>
      </c>
      <c r="C6" s="4"/>
      <c r="D6" s="5"/>
      <c r="E6" s="4"/>
      <c r="F6" s="4"/>
      <c r="G6" s="4"/>
      <c r="H6" s="4"/>
      <c r="I6" s="4"/>
      <c r="J6" s="4"/>
      <c r="K6" s="6">
        <v>45114</v>
      </c>
      <c r="L6" s="3" t="s">
        <v>78</v>
      </c>
      <c r="M6" s="18" t="s">
        <v>79</v>
      </c>
    </row>
    <row r="7" spans="1:13" ht="29.25" customHeight="1">
      <c r="A7" s="3" t="s">
        <v>80</v>
      </c>
      <c r="B7" s="4">
        <v>5</v>
      </c>
      <c r="C7" s="4"/>
      <c r="D7" s="5"/>
      <c r="E7" s="5"/>
      <c r="F7" s="4"/>
      <c r="G7" s="4"/>
      <c r="H7" s="4"/>
      <c r="I7" s="4"/>
      <c r="J7" s="4"/>
      <c r="K7" s="6">
        <v>45122</v>
      </c>
      <c r="L7" s="3" t="s">
        <v>81</v>
      </c>
      <c r="M7" s="18"/>
    </row>
    <row r="8" spans="1:13" ht="29.25" customHeight="1">
      <c r="A8" s="3" t="s">
        <v>82</v>
      </c>
      <c r="B8" s="4">
        <v>2</v>
      </c>
      <c r="C8" s="4"/>
      <c r="D8" s="4"/>
      <c r="E8" s="5"/>
      <c r="F8" s="4"/>
      <c r="G8" s="4"/>
      <c r="H8" s="4"/>
      <c r="I8" s="4"/>
      <c r="J8" s="4"/>
      <c r="K8" s="6">
        <v>45125</v>
      </c>
      <c r="L8" s="3" t="s">
        <v>72</v>
      </c>
      <c r="M8" s="18"/>
    </row>
    <row r="9" spans="1:13" ht="29.25" customHeight="1">
      <c r="A9" s="3" t="s">
        <v>83</v>
      </c>
      <c r="B9" s="4">
        <v>1</v>
      </c>
      <c r="C9" s="4"/>
      <c r="D9" s="4"/>
      <c r="E9" s="5"/>
      <c r="F9" s="4"/>
      <c r="G9" s="4"/>
      <c r="H9" s="4"/>
      <c r="I9" s="4"/>
      <c r="J9" s="4"/>
      <c r="K9" s="7">
        <v>45126</v>
      </c>
      <c r="L9" s="12" t="s">
        <v>78</v>
      </c>
      <c r="M9" s="18" t="s">
        <v>84</v>
      </c>
    </row>
    <row r="10" spans="1:13" ht="29.25" customHeight="1">
      <c r="A10" s="8" t="s">
        <v>85</v>
      </c>
      <c r="B10" s="9">
        <v>3</v>
      </c>
      <c r="C10" s="9"/>
      <c r="D10" s="9"/>
      <c r="E10" s="9"/>
      <c r="F10" s="10"/>
      <c r="G10" s="9"/>
      <c r="H10" s="9"/>
      <c r="I10" s="9"/>
      <c r="J10" s="9"/>
      <c r="K10" s="7">
        <v>45131</v>
      </c>
      <c r="L10" s="11" t="s">
        <v>86</v>
      </c>
      <c r="M10" s="18" t="s">
        <v>87</v>
      </c>
    </row>
    <row r="11" spans="1:13" ht="29.25" customHeight="1">
      <c r="A11" s="11" t="s">
        <v>88</v>
      </c>
      <c r="B11" s="9">
        <v>7</v>
      </c>
      <c r="C11" s="9"/>
      <c r="D11" s="9"/>
      <c r="E11" s="9"/>
      <c r="F11" s="10"/>
      <c r="G11" s="9"/>
      <c r="H11" s="9"/>
      <c r="I11" s="9"/>
      <c r="J11" s="9"/>
      <c r="K11" s="7">
        <v>45138</v>
      </c>
      <c r="L11" s="11" t="s">
        <v>89</v>
      </c>
      <c r="M11" s="18"/>
    </row>
    <row r="12" spans="1:13" ht="29.25" customHeight="1">
      <c r="A12" s="11" t="s">
        <v>90</v>
      </c>
      <c r="B12" s="9">
        <v>4</v>
      </c>
      <c r="C12" s="9"/>
      <c r="D12" s="9"/>
      <c r="E12" s="9"/>
      <c r="F12" s="9"/>
      <c r="G12" s="10"/>
      <c r="H12" s="9"/>
      <c r="I12" s="9"/>
      <c r="J12" s="9"/>
      <c r="K12" s="7">
        <v>45145</v>
      </c>
      <c r="L12" s="3" t="s">
        <v>72</v>
      </c>
      <c r="M12" s="18" t="s">
        <v>91</v>
      </c>
    </row>
    <row r="13" spans="1:13" ht="29.25" customHeight="1">
      <c r="A13" s="13" t="s">
        <v>92</v>
      </c>
      <c r="B13" s="19">
        <v>1</v>
      </c>
      <c r="C13" s="9"/>
      <c r="D13" s="9"/>
      <c r="E13" s="9"/>
      <c r="F13" s="9"/>
      <c r="G13" s="10"/>
      <c r="H13" s="10"/>
      <c r="I13" s="9"/>
      <c r="J13" s="9"/>
      <c r="K13" s="7">
        <v>45148</v>
      </c>
      <c r="L13" s="13" t="s">
        <v>93</v>
      </c>
      <c r="M13" s="18" t="s">
        <v>94</v>
      </c>
    </row>
    <row r="14" spans="1:13" ht="29.25" customHeight="1">
      <c r="A14" s="11" t="s">
        <v>95</v>
      </c>
      <c r="B14" s="9">
        <v>3</v>
      </c>
      <c r="C14" s="9"/>
      <c r="D14" s="9"/>
      <c r="E14" s="9"/>
      <c r="F14" s="9"/>
      <c r="G14" s="9"/>
      <c r="H14" s="10"/>
      <c r="I14" s="10"/>
      <c r="J14" s="9"/>
      <c r="K14" s="7">
        <v>45155</v>
      </c>
      <c r="L14" s="13" t="s">
        <v>86</v>
      </c>
      <c r="M14" s="18" t="s">
        <v>91</v>
      </c>
    </row>
    <row r="15" spans="1:13" ht="29.25" customHeight="1">
      <c r="A15" s="11" t="s">
        <v>96</v>
      </c>
      <c r="B15" s="9">
        <v>5</v>
      </c>
      <c r="C15" s="9"/>
      <c r="D15" s="9"/>
      <c r="E15" s="9"/>
      <c r="F15" s="9"/>
      <c r="G15" s="9"/>
      <c r="H15" s="9"/>
      <c r="I15" s="9"/>
      <c r="J15" s="10"/>
      <c r="K15" s="7">
        <v>45164</v>
      </c>
      <c r="L15" s="13" t="s">
        <v>86</v>
      </c>
      <c r="M15" s="18" t="s">
        <v>91</v>
      </c>
    </row>
    <row r="16" spans="1:13" ht="29.25" customHeight="1">
      <c r="A16" s="11" t="s">
        <v>97</v>
      </c>
      <c r="B16" s="9">
        <v>1</v>
      </c>
      <c r="C16" s="9"/>
      <c r="D16" s="9"/>
      <c r="E16" s="9"/>
      <c r="F16" s="9"/>
      <c r="G16" s="9"/>
      <c r="H16" s="9"/>
      <c r="I16" s="9"/>
      <c r="J16" s="10"/>
      <c r="K16" s="7">
        <v>45165</v>
      </c>
      <c r="L16" s="13" t="s">
        <v>98</v>
      </c>
      <c r="M16" s="18" t="s">
        <v>91</v>
      </c>
    </row>
    <row r="19" spans="1:1">
      <c r="A19" t="s">
        <v>99</v>
      </c>
    </row>
    <row r="20" spans="1:1">
      <c r="A20" t="s">
        <v>100</v>
      </c>
    </row>
    <row r="22" spans="1:1">
      <c r="A22" t="s">
        <v>101</v>
      </c>
    </row>
    <row r="23" spans="1:1">
      <c r="A23" t="s">
        <v>102</v>
      </c>
    </row>
  </sheetData>
  <mergeCells count="7">
    <mergeCell ref="M1:M2"/>
    <mergeCell ref="L1:L2"/>
    <mergeCell ref="C1:F1"/>
    <mergeCell ref="G1:J1"/>
    <mergeCell ref="A1:A2"/>
    <mergeCell ref="B1:B2"/>
    <mergeCell ref="K1:K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SharedWithUsers xmlns="3940b711-dc1d-4235-b0a5-48d487f0d3b9">
      <UserInfo>
        <DisplayName>Alirah WEYORI</DisplayName>
        <AccountId>923</AccountId>
        <AccountType/>
      </UserInfo>
      <UserInfo>
        <DisplayName>Faroukou GARBA</DisplayName>
        <AccountId>1743</AccountId>
        <AccountType/>
      </UserInfo>
      <UserInfo>
        <DisplayName>Mohamed SALEM</DisplayName>
        <AccountId>20</AccountId>
        <AccountType/>
      </UserInfo>
      <UserInfo>
        <DisplayName>Outman BADAOUI</DisplayName>
        <AccountId>1749</AccountId>
        <AccountType/>
      </UserInfo>
      <UserInfo>
        <DisplayName>Federico DOEHNERT</DisplayName>
        <AccountId>436</AccountId>
        <AccountType/>
      </UserInfo>
      <UserInfo>
        <DisplayName>Moumouni KABRE</DisplayName>
        <AccountId>1750</AccountId>
        <AccountType/>
      </UserInfo>
      <UserInfo>
        <DisplayName>Moro DABRE</DisplayName>
        <AccountId>1751</AccountId>
        <AccountType/>
      </UserInfo>
      <UserInfo>
        <DisplayName>Zakaria KONFE</DisplayName>
        <AccountId>1920</AccountId>
        <AccountType/>
      </UserInfo>
      <UserInfo>
        <DisplayName>Isra WISHAH</DisplayName>
        <AccountId>18</AccountId>
        <AccountType/>
      </UserInfo>
      <UserInfo>
        <DisplayName>Marianne JENSBY</DisplayName>
        <AccountId>1110</AccountId>
        <AccountType/>
      </UserInfo>
      <UserInfo>
        <DisplayName>Cassandra WALKER</DisplayName>
        <AccountId>381</AccountId>
        <AccountType/>
      </UserInfo>
    </SharedWithUsers>
    <Notes xmlns="49256dcf-74b5-4e0f-b2ab-e17546be8a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5203DB-DA46-4AC2-B727-696F82A24728}"/>
</file>

<file path=customXml/itemProps2.xml><?xml version="1.0" encoding="utf-8"?>
<ds:datastoreItem xmlns:ds="http://schemas.openxmlformats.org/officeDocument/2006/customXml" ds:itemID="{AD2E21EB-CDFE-4917-BCA1-CEDA4ECA3C3A}"/>
</file>

<file path=customXml/itemProps3.xml><?xml version="1.0" encoding="utf-8"?>
<ds:datastoreItem xmlns:ds="http://schemas.openxmlformats.org/officeDocument/2006/customXml" ds:itemID="{AA826685-636E-45B6-A050-B5650D3B9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GARBA Faroukou</dc:creator>
  <cp:keywords/>
  <dc:description/>
  <cp:lastModifiedBy>Cassandra WALKER</cp:lastModifiedBy>
  <cp:revision/>
  <dcterms:created xsi:type="dcterms:W3CDTF">2023-07-04T12:03:26Z</dcterms:created>
  <dcterms:modified xsi:type="dcterms:W3CDTF">2023-07-28T08:59:14Z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